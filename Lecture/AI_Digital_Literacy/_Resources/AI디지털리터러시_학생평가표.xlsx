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반" sheetId="1" state="visible" r:id="rId3"/>
    <sheet name="2반" sheetId="2" state="visible" r:id="rId4"/>
    <sheet name="3반" sheetId="3" state="visible" r:id="rId5"/>
    <sheet name="4반" sheetId="4" state="visible" r:id="rId6"/>
    <sheet name="5반" sheetId="5" state="visible" r:id="rId7"/>
    <sheet name="6반" sheetId="6" state="visible" r:id="rId8"/>
    <sheet name="개인평가표" sheetId="7" state="visible" r:id="rId9"/>
  </sheets>
  <definedNames>
    <definedName function="false" hidden="false" localSheetId="6" name="_xlnm.Print_Area" vbProcedure="false">개인평가표!$A$1:$H$51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<sst xmlns="http://schemas.openxmlformats.org/spreadsheetml/2006/main" count="241" uniqueCount="81">
  <si>
    <t xml:space="preserve">연번</t>
  </si>
  <si>
    <t xml:space="preserve">학과</t>
  </si>
  <si>
    <t xml:space="preserve">학번</t>
  </si>
  <si>
    <t xml:space="preserve">이름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</si>
  <si>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주차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</si>
  <si>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주차</t>
    </r>
  </si>
  <si>
    <r>
      <rPr>
        <b val="true"/>
        <sz val="10"/>
        <color rgb="FFFFFFFF"/>
        <rFont val="맑은 고딕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주차</t>
    </r>
    <r>
      <rPr>
        <b val="true"/>
        <sz val="10"/>
        <color rgb="FFFFFFFF"/>
        <rFont val="맑은 고딕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엔트리 </t>
    </r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Noto Sans CJK SC"/>
        <family val="2"/>
      </rPr>
      <t xml:space="preserve">블록</t>
    </r>
  </si>
  <si>
    <r>
      <rPr>
        <b val="true"/>
        <sz val="10"/>
        <color rgb="FFFFFFFF"/>
        <rFont val="맑은 고딕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주차</t>
    </r>
    <r>
      <rPr>
        <b val="true"/>
        <sz val="10"/>
        <color rgb="FFFFFFFF"/>
        <rFont val="맑은 고딕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엔트리 </t>
    </r>
    <r>
      <rPr>
        <b val="true"/>
        <sz val="10"/>
        <color rgb="FFFFFFFF"/>
        <rFont val="맑은 고딕"/>
        <family val="0"/>
        <charset val="1"/>
      </rPr>
      <t xml:space="preserve">AI(</t>
    </r>
    <r>
      <rPr>
        <b val="true"/>
        <sz val="10"/>
        <color rgb="FFFFFFFF"/>
        <rFont val="Noto Sans CJK SC"/>
        <family val="2"/>
      </rPr>
      <t xml:space="preserve">생성형</t>
    </r>
    <r>
      <rPr>
        <b val="true"/>
        <sz val="10"/>
        <color rgb="FFFFFFFF"/>
        <rFont val="맑은 고딕"/>
        <family val="0"/>
        <charset val="1"/>
      </rPr>
      <t xml:space="preserve">AI)</t>
    </r>
  </si>
  <si>
    <r>
      <rPr>
        <b val="true"/>
        <sz val="10"/>
        <color rgb="FFFFFFFF"/>
        <rFont val="맑은 고딕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주차</t>
    </r>
    <r>
      <rPr>
        <b val="true"/>
        <sz val="10"/>
        <color rgb="FFFFFFFF"/>
        <rFont val="맑은 고딕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수업 지도안</t>
    </r>
  </si>
  <si>
    <t xml:space="preserve">총점</t>
  </si>
  <si>
    <t xml:space="preserve">등급</t>
  </si>
  <si>
    <t xml:space="preserve">석차</t>
  </si>
  <si>
    <r>
      <rPr>
        <b val="true"/>
        <sz val="9"/>
        <rFont val="Noto Sans CJK SC"/>
        <family val="2"/>
      </rPr>
      <t xml:space="preserve">이론퀴즈
</t>
    </r>
    <r>
      <rPr>
        <b val="true"/>
        <sz val="9"/>
        <rFont val="맑은 고딕"/>
        <family val="0"/>
        <charset val="1"/>
      </rPr>
      <t xml:space="preserve">/10</t>
    </r>
  </si>
  <si>
    <r>
      <rPr>
        <b val="true"/>
        <sz val="9"/>
        <rFont val="맑은 고딕"/>
        <family val="0"/>
        <charset val="1"/>
      </rPr>
      <t xml:space="preserve">A.</t>
    </r>
    <r>
      <rPr>
        <b val="true"/>
        <sz val="9"/>
        <rFont val="Noto Sans CJK SC"/>
        <family val="2"/>
      </rPr>
      <t xml:space="preserve">블록활용
</t>
    </r>
    <r>
      <rPr>
        <b val="true"/>
        <sz val="9"/>
        <rFont val="맑은 고딕"/>
        <family val="0"/>
        <charset val="1"/>
      </rPr>
      <t xml:space="preserve">/4</t>
    </r>
  </si>
  <si>
    <r>
      <rPr>
        <b val="true"/>
        <sz val="9"/>
        <rFont val="맑은 고딕"/>
        <family val="0"/>
        <charset val="1"/>
      </rPr>
      <t xml:space="preserve">B.</t>
    </r>
    <r>
      <rPr>
        <b val="true"/>
        <sz val="9"/>
        <rFont val="Noto Sans CJK SC"/>
        <family val="2"/>
      </rPr>
      <t xml:space="preserve">코딩구현
</t>
    </r>
    <r>
      <rPr>
        <b val="true"/>
        <sz val="9"/>
        <rFont val="맑은 고딕"/>
        <family val="0"/>
        <charset val="1"/>
      </rPr>
      <t xml:space="preserve">/4</t>
    </r>
  </si>
  <si>
    <r>
      <rPr>
        <b val="true"/>
        <sz val="9"/>
        <rFont val="맑은 고딕"/>
        <family val="0"/>
        <charset val="1"/>
      </rPr>
      <t xml:space="preserve">C.</t>
    </r>
    <r>
      <rPr>
        <b val="true"/>
        <sz val="9"/>
        <rFont val="Noto Sans CJK SC"/>
        <family val="2"/>
      </rPr>
      <t xml:space="preserve">제출요건
</t>
    </r>
    <r>
      <rPr>
        <b val="true"/>
        <sz val="9"/>
        <rFont val="맑은 고딕"/>
        <family val="0"/>
        <charset val="1"/>
      </rPr>
      <t xml:space="preserve">/2</t>
    </r>
  </si>
  <si>
    <r>
      <rPr>
        <b val="true"/>
        <sz val="9"/>
        <rFont val="Noto Sans CJK SC"/>
        <family val="2"/>
      </rPr>
      <t xml:space="preserve">소계
</t>
    </r>
    <r>
      <rPr>
        <b val="true"/>
        <sz val="9"/>
        <rFont val="맑은 고딕"/>
        <family val="0"/>
        <charset val="1"/>
      </rPr>
      <t xml:space="preserve">/10</t>
    </r>
  </si>
  <si>
    <r>
      <rPr>
        <b val="true"/>
        <sz val="9"/>
        <rFont val="맑은 고딕"/>
        <family val="0"/>
        <charset val="1"/>
      </rPr>
      <t xml:space="preserve">A.</t>
    </r>
    <r>
      <rPr>
        <b val="true"/>
        <sz val="9"/>
        <rFont val="Noto Sans CJK SC"/>
        <family val="2"/>
      </rPr>
      <t xml:space="preserve">완성도
</t>
    </r>
    <r>
      <rPr>
        <b val="true"/>
        <sz val="9"/>
        <rFont val="맑은 고딕"/>
        <family val="0"/>
        <charset val="1"/>
      </rPr>
      <t xml:space="preserve">/4</t>
    </r>
  </si>
  <si>
    <r>
      <rPr>
        <b val="true"/>
        <sz val="9"/>
        <rFont val="맑은 고딕"/>
        <family val="0"/>
        <charset val="1"/>
      </rPr>
      <t xml:space="preserve">B.AI</t>
    </r>
    <r>
      <rPr>
        <b val="true"/>
        <sz val="9"/>
        <rFont val="Noto Sans CJK SC"/>
        <family val="2"/>
      </rPr>
      <t xml:space="preserve">활용
</t>
    </r>
    <r>
      <rPr>
        <b val="true"/>
        <sz val="9"/>
        <rFont val="맑은 고딕"/>
        <family val="0"/>
        <charset val="1"/>
      </rPr>
      <t xml:space="preserve">/4</t>
    </r>
  </si>
  <si>
    <r>
      <rPr>
        <b val="true"/>
        <sz val="9"/>
        <rFont val="맑은 고딕"/>
        <family val="0"/>
        <charset val="1"/>
      </rPr>
      <t xml:space="preserve">A.</t>
    </r>
    <r>
      <rPr>
        <b val="true"/>
        <sz val="9"/>
        <rFont val="Noto Sans CJK SC"/>
        <family val="2"/>
      </rPr>
      <t xml:space="preserve">내용
</t>
    </r>
    <r>
      <rPr>
        <b val="true"/>
        <sz val="9"/>
        <rFont val="맑은 고딕"/>
        <family val="0"/>
        <charset val="1"/>
      </rPr>
      <t xml:space="preserve">/4</t>
    </r>
  </si>
  <si>
    <r>
      <rPr>
        <b val="true"/>
        <sz val="9"/>
        <rFont val="맑은 고딕"/>
        <family val="0"/>
        <charset val="1"/>
      </rPr>
      <t xml:space="preserve">B.</t>
    </r>
    <r>
      <rPr>
        <b val="true"/>
        <sz val="9"/>
        <rFont val="Noto Sans CJK SC"/>
        <family val="2"/>
      </rPr>
      <t xml:space="preserve">도구활용
</t>
    </r>
    <r>
      <rPr>
        <b val="true"/>
        <sz val="9"/>
        <rFont val="맑은 고딕"/>
        <family val="0"/>
        <charset val="1"/>
      </rPr>
      <t xml:space="preserve">/4</t>
    </r>
  </si>
  <si>
    <t xml:space="preserve">/50</t>
  </si>
  <si>
    <t xml:space="preserve">조회 설정</t>
  </si>
  <si>
    <r>
      <rPr>
        <b val="true"/>
        <sz val="9"/>
        <rFont val="Noto Sans CJK SC"/>
        <family val="2"/>
      </rPr>
      <t xml:space="preserve">반 선택</t>
    </r>
    <r>
      <rPr>
        <b val="true"/>
        <sz val="9"/>
        <rFont val="맑은 고딕"/>
        <family val="0"/>
        <charset val="1"/>
      </rPr>
      <t xml:space="preserve">:</t>
    </r>
  </si>
  <si>
    <r>
      <rPr>
        <sz val="11"/>
        <color rgb="FF0000FF"/>
        <rFont val="맑은 고딕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반</t>
    </r>
  </si>
  <si>
    <r>
      <rPr>
        <sz val="9"/>
        <color rgb="FF888888"/>
        <rFont val="맑은 고딕"/>
        <family val="0"/>
        <charset val="1"/>
      </rPr>
      <t xml:space="preserve">← 1</t>
    </r>
    <r>
      <rPr>
        <sz val="9"/>
        <color rgb="FF888888"/>
        <rFont val="Noto Sans CJK SC"/>
        <family val="2"/>
      </rPr>
      <t xml:space="preserve">반</t>
    </r>
    <r>
      <rPr>
        <sz val="9"/>
        <color rgb="FF888888"/>
        <rFont val="맑은 고딕"/>
        <family val="0"/>
        <charset val="1"/>
      </rPr>
      <t xml:space="preserve">~6</t>
    </r>
    <r>
      <rPr>
        <sz val="9"/>
        <color rgb="FF888888"/>
        <rFont val="Noto Sans CJK SC"/>
        <family val="2"/>
      </rPr>
      <t xml:space="preserve">반 입력</t>
    </r>
  </si>
  <si>
    <r>
      <rPr>
        <b val="true"/>
        <sz val="9"/>
        <rFont val="Noto Sans CJK SC"/>
        <family val="2"/>
      </rPr>
      <t xml:space="preserve">학번 입력</t>
    </r>
    <r>
      <rPr>
        <b val="true"/>
        <sz val="9"/>
        <rFont val="맑은 고딕"/>
        <family val="0"/>
        <charset val="1"/>
      </rPr>
      <t xml:space="preserve">:</t>
    </r>
  </si>
  <si>
    <t xml:space="preserve">← 학번 입력 시 자동 조회</t>
  </si>
  <si>
    <r>
      <rPr>
        <b val="true"/>
        <sz val="14"/>
        <color rgb="FF1976D2"/>
        <rFont val="맑은 고딕"/>
        <family val="0"/>
        <charset val="1"/>
      </rPr>
      <t xml:space="preserve">AI</t>
    </r>
    <r>
      <rPr>
        <b val="true"/>
        <sz val="14"/>
        <color rgb="FF1976D2"/>
        <rFont val="Noto Sans CJK SC"/>
        <family val="2"/>
      </rPr>
      <t xml:space="preserve">디지털리터러시 종합 성적표 </t>
    </r>
    <r>
      <rPr>
        <b val="true"/>
        <sz val="14"/>
        <color rgb="FF1976D2"/>
        <rFont val="맑은 고딕"/>
        <family val="0"/>
        <charset val="1"/>
      </rPr>
      <t xml:space="preserve">(50</t>
    </r>
    <r>
      <rPr>
        <b val="true"/>
        <sz val="14"/>
        <color rgb="FF1976D2"/>
        <rFont val="Noto Sans CJK SC"/>
        <family val="2"/>
      </rPr>
      <t xml:space="preserve">점 만점</t>
    </r>
    <r>
      <rPr>
        <b val="true"/>
        <sz val="14"/>
        <color rgb="FF1976D2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</si>
  <si>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학번</t>
    </r>
    <r>
      <rPr>
        <b val="true"/>
        <sz val="9"/>
        <rFont val="맑은 고딕"/>
        <family val="0"/>
        <charset val="1"/>
      </rPr>
      <t xml:space="preserve">:</t>
    </r>
  </si>
  <si>
    <r>
      <rPr>
        <b val="true"/>
        <sz val="9"/>
        <rFont val="Noto Sans CJK SC"/>
        <family val="2"/>
      </rPr>
      <t xml:space="preserve">이름</t>
    </r>
    <r>
      <rPr>
        <b val="true"/>
        <sz val="9"/>
        <rFont val="맑은 고딕"/>
        <family val="0"/>
        <charset val="1"/>
      </rPr>
      <t xml:space="preserve">:</t>
    </r>
  </si>
  <si>
    <r>
      <rPr>
        <b val="true"/>
        <sz val="9"/>
        <rFont val="Noto Sans CJK SC"/>
        <family val="2"/>
      </rPr>
      <t xml:space="preserve">반</t>
    </r>
    <r>
      <rPr>
        <b val="true"/>
        <sz val="9"/>
        <rFont val="맑은 고딕"/>
        <family val="0"/>
        <charset val="1"/>
      </rPr>
      <t xml:space="preserve">:</t>
    </r>
  </si>
  <si>
    <r>
      <rPr>
        <b val="true"/>
        <sz val="11"/>
        <color rgb="FFFFFFFF"/>
        <rFont val="Noto Sans CJK SC"/>
        <family val="2"/>
      </rPr>
      <t xml:space="preserve">이론 퀴즈 </t>
    </r>
    <r>
      <rPr>
        <b val="true"/>
        <sz val="11"/>
        <color rgb="FFFFFFFF"/>
        <rFont val="맑은 고딕"/>
        <family val="0"/>
        <charset val="1"/>
      </rPr>
      <t xml:space="preserve">(20</t>
    </r>
    <r>
      <rPr>
        <b val="true"/>
        <sz val="11"/>
        <color rgb="FFFFFFFF"/>
        <rFont val="Noto Sans CJK SC"/>
        <family val="2"/>
      </rPr>
      <t xml:space="preserve">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</si>
  <si>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주차</t>
  </si>
  <si>
    <t xml:space="preserve">평가 방법</t>
  </si>
  <si>
    <t xml:space="preserve">배점</t>
  </si>
  <si>
    <t xml:space="preserve">취득</t>
  </si>
  <si>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주차</t>
    </r>
  </si>
  <si>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지선다 </t>
    </r>
    <r>
      <rPr>
        <sz val="9"/>
        <rFont val="맑은 고딕"/>
        <family val="0"/>
        <charset val="1"/>
      </rPr>
      <t xml:space="preserve">10</t>
    </r>
    <r>
      <rPr>
        <sz val="9"/>
        <rFont val="Noto Sans CJK SC"/>
        <family val="2"/>
      </rPr>
      <t xml:space="preserve">문항</t>
    </r>
    <r>
      <rPr>
        <sz val="9"/>
        <rFont val="맑은 고딕"/>
        <family val="0"/>
        <charset val="1"/>
      </rPr>
      <t xml:space="preserve">(×0.5) + </t>
    </r>
    <r>
      <rPr>
        <sz val="9"/>
        <rFont val="Noto Sans CJK SC"/>
        <family val="2"/>
      </rPr>
      <t xml:space="preserve">단답형 </t>
    </r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문항</t>
    </r>
    <r>
      <rPr>
        <sz val="9"/>
        <rFont val="맑은 고딕"/>
        <family val="0"/>
        <charset val="1"/>
      </rPr>
      <t xml:space="preserve">(×1)</t>
    </r>
  </si>
  <si>
    <t xml:space="preserve">/10</t>
  </si>
  <si>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주차</t>
    </r>
  </si>
  <si>
    <t xml:space="preserve">소계</t>
  </si>
  <si>
    <r>
      <rPr>
        <b val="true"/>
        <sz val="9"/>
        <rFont val="맑은 고딕"/>
        <family val="0"/>
        <charset val="1"/>
      </rPr>
      <t xml:space="preserve">/20</t>
    </r>
    <r>
      <rPr>
        <b val="true"/>
        <sz val="9"/>
        <rFont val="Noto Sans CJK SC"/>
        <family val="2"/>
      </rPr>
      <t xml:space="preserve">점</t>
    </r>
  </si>
  <si>
    <r>
      <rPr>
        <b val="true"/>
        <sz val="11"/>
        <color rgb="FFFFFFFF"/>
        <rFont val="Noto Sans CJK SC"/>
        <family val="2"/>
      </rPr>
      <t xml:space="preserve">엔트리 </t>
    </r>
    <r>
      <rPr>
        <b val="true"/>
        <sz val="11"/>
        <color rgb="FFFFFFFF"/>
        <rFont val="맑은 고딕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작품 실습 </t>
    </r>
    <r>
      <rPr>
        <b val="true"/>
        <sz val="11"/>
        <color rgb="FFFFFFFF"/>
        <rFont val="맑은 고딕"/>
        <family val="0"/>
        <charset val="1"/>
      </rPr>
      <t xml:space="preserve">(20</t>
    </r>
    <r>
      <rPr>
        <b val="true"/>
        <sz val="11"/>
        <color rgb="FFFFFFFF"/>
        <rFont val="Noto Sans CJK SC"/>
        <family val="2"/>
      </rPr>
      <t xml:space="preserve">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</si>
  <si>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3</t>
    </r>
    <r>
      <rPr>
        <b val="true"/>
        <sz val="9"/>
        <rFont val="Noto Sans CJK SC"/>
        <family val="2"/>
      </rPr>
      <t xml:space="preserve">주차</t>
    </r>
    <r>
      <rPr>
        <b val="true"/>
        <sz val="9"/>
        <rFont val="맑은 고딕"/>
        <family val="0"/>
        <charset val="1"/>
      </rPr>
      <t xml:space="preserve">: AI </t>
    </r>
    <r>
      <rPr>
        <b val="true"/>
        <sz val="9"/>
        <rFont val="Noto Sans CJK SC"/>
        <family val="2"/>
      </rPr>
      <t xml:space="preserve">블록 활용</t>
    </r>
  </si>
  <si>
    <r>
      <rPr>
        <sz val="9"/>
        <rFont val="맑은 고딕"/>
        <family val="0"/>
        <charset val="1"/>
      </rPr>
      <t xml:space="preserve">A. AI </t>
    </r>
    <r>
      <rPr>
        <sz val="9"/>
        <rFont val="Noto Sans CJK SC"/>
        <family val="2"/>
      </rPr>
      <t xml:space="preserve">블록 활용</t>
    </r>
  </si>
  <si>
    <t xml:space="preserve">/4</t>
  </si>
  <si>
    <r>
      <rPr>
        <sz val="9"/>
        <rFont val="맑은 고딕"/>
        <family val="0"/>
        <charset val="1"/>
      </rPr>
      <t xml:space="preserve">B. </t>
    </r>
    <r>
      <rPr>
        <sz val="9"/>
        <rFont val="Noto Sans CJK SC"/>
        <family val="2"/>
      </rPr>
      <t xml:space="preserve">블록 코딩 구현</t>
    </r>
  </si>
  <si>
    <r>
      <rPr>
        <sz val="9"/>
        <rFont val="맑은 고딕"/>
        <family val="0"/>
        <charset val="1"/>
      </rPr>
      <t xml:space="preserve">C. </t>
    </r>
    <r>
      <rPr>
        <sz val="9"/>
        <rFont val="Noto Sans CJK SC"/>
        <family val="2"/>
      </rPr>
      <t xml:space="preserve">제출 요건</t>
    </r>
  </si>
  <si>
    <t xml:space="preserve">/2</t>
  </si>
  <si>
    <r>
      <rPr>
        <b val="true"/>
        <sz val="9"/>
        <rFont val="맑은 고딕"/>
        <family val="0"/>
        <charset val="1"/>
      </rPr>
      <t xml:space="preserve">/10</t>
    </r>
    <r>
      <rPr>
        <b val="true"/>
        <sz val="9"/>
        <rFont val="Noto Sans CJK SC"/>
        <family val="2"/>
      </rPr>
      <t xml:space="preserve">점</t>
    </r>
  </si>
  <si>
    <r>
      <rPr>
        <b val="true"/>
        <sz val="9"/>
        <rFont val="맑은 고딕"/>
        <family val="0"/>
        <charset val="1"/>
      </rPr>
      <t xml:space="preserve">4</t>
    </r>
    <r>
      <rPr>
        <b val="true"/>
        <sz val="9"/>
        <rFont val="Noto Sans CJK SC"/>
        <family val="2"/>
      </rPr>
      <t xml:space="preserve">주차</t>
    </r>
    <r>
      <rPr>
        <b val="true"/>
        <sz val="9"/>
        <rFont val="맑은 고딕"/>
        <family val="0"/>
        <charset val="1"/>
      </rPr>
      <t xml:space="preserve">: </t>
    </r>
    <r>
      <rPr>
        <b val="true"/>
        <sz val="9"/>
        <rFont val="Noto Sans CJK SC"/>
        <family val="2"/>
      </rPr>
      <t xml:space="preserve">생성형 </t>
    </r>
    <r>
      <rPr>
        <b val="true"/>
        <sz val="9"/>
        <rFont val="맑은 고딕"/>
        <family val="0"/>
        <charset val="1"/>
      </rPr>
      <t xml:space="preserve">AI </t>
    </r>
    <r>
      <rPr>
        <b val="true"/>
        <sz val="9"/>
        <rFont val="Noto Sans CJK SC"/>
        <family val="2"/>
      </rPr>
      <t xml:space="preserve">활용</t>
    </r>
  </si>
  <si>
    <r>
      <rPr>
        <sz val="9"/>
        <rFont val="맑은 고딕"/>
        <family val="0"/>
        <charset val="1"/>
      </rPr>
      <t xml:space="preserve">A. </t>
    </r>
    <r>
      <rPr>
        <sz val="9"/>
        <rFont val="Noto Sans CJK SC"/>
        <family val="2"/>
      </rPr>
      <t xml:space="preserve">작품 완성도</t>
    </r>
  </si>
  <si>
    <r>
      <rPr>
        <sz val="9"/>
        <rFont val="맑은 고딕"/>
        <family val="0"/>
        <charset val="1"/>
      </rPr>
      <t xml:space="preserve">B. </t>
    </r>
    <r>
      <rPr>
        <sz val="9"/>
        <rFont val="Noto Sans CJK SC"/>
        <family val="2"/>
      </rPr>
      <t xml:space="preserve">생성형 </t>
    </r>
    <r>
      <rPr>
        <sz val="9"/>
        <rFont val="맑은 고딕"/>
        <family val="0"/>
        <charset val="1"/>
      </rPr>
      <t xml:space="preserve">AI </t>
    </r>
    <r>
      <rPr>
        <sz val="9"/>
        <rFont val="Noto Sans CJK SC"/>
        <family val="2"/>
      </rPr>
      <t xml:space="preserve">활용</t>
    </r>
  </si>
  <si>
    <t xml:space="preserve">엔트리 소계</t>
  </si>
  <si>
    <r>
      <rPr>
        <b val="true"/>
        <sz val="10"/>
        <rFont val="맑은 고딕"/>
        <family val="0"/>
        <charset val="1"/>
      </rPr>
      <t xml:space="preserve">/20</t>
    </r>
    <r>
      <rPr>
        <b val="true"/>
        <sz val="10"/>
        <rFont val="Noto Sans CJK SC"/>
        <family val="2"/>
      </rPr>
      <t xml:space="preserve">점</t>
    </r>
  </si>
  <si>
    <r>
      <rPr>
        <b val="true"/>
        <sz val="11"/>
        <color rgb="FFFFFFFF"/>
        <rFont val="Noto Sans CJK SC"/>
        <family val="2"/>
      </rPr>
      <t xml:space="preserve">수업 지도안 </t>
    </r>
    <r>
      <rPr>
        <b val="true"/>
        <sz val="11"/>
        <color rgb="FFFFFFFF"/>
        <rFont val="맑은 고딕"/>
        <family val="0"/>
        <charset val="1"/>
      </rPr>
      <t xml:space="preserve">(10</t>
    </r>
    <r>
      <rPr>
        <b val="true"/>
        <sz val="11"/>
        <color rgb="FFFFFFFF"/>
        <rFont val="Noto Sans CJK SC"/>
        <family val="2"/>
      </rPr>
      <t xml:space="preserve">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</si>
  <si>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5</t>
    </r>
    <r>
      <rPr>
        <b val="true"/>
        <sz val="9"/>
        <rFont val="Noto Sans CJK SC"/>
        <family val="2"/>
      </rPr>
      <t xml:space="preserve">주차</t>
    </r>
    <r>
      <rPr>
        <b val="true"/>
        <sz val="9"/>
        <rFont val="맑은 고딕"/>
        <family val="0"/>
        <charset val="1"/>
      </rPr>
      <t xml:space="preserve">: </t>
    </r>
    <r>
      <rPr>
        <b val="true"/>
        <sz val="9"/>
        <rFont val="Noto Sans CJK SC"/>
        <family val="2"/>
      </rPr>
      <t xml:space="preserve">수업 지도안</t>
    </r>
  </si>
  <si>
    <r>
      <rPr>
        <sz val="9"/>
        <rFont val="맑은 고딕"/>
        <family val="0"/>
        <charset val="1"/>
      </rPr>
      <t xml:space="preserve">A. </t>
    </r>
    <r>
      <rPr>
        <sz val="9"/>
        <rFont val="Noto Sans CJK SC"/>
        <family val="2"/>
      </rPr>
      <t xml:space="preserve">지도안 내용</t>
    </r>
  </si>
  <si>
    <r>
      <rPr>
        <sz val="9"/>
        <rFont val="맑은 고딕"/>
        <family val="0"/>
        <charset val="1"/>
      </rPr>
      <t xml:space="preserve">B. </t>
    </r>
    <r>
      <rPr>
        <sz val="9"/>
        <rFont val="Noto Sans CJK SC"/>
        <family val="2"/>
      </rPr>
      <t xml:space="preserve">도구 활용</t>
    </r>
  </si>
  <si>
    <t xml:space="preserve">종합 결과</t>
  </si>
  <si>
    <r>
      <rPr>
        <b val="true"/>
        <sz val="12"/>
        <rFont val="맑은 고딕"/>
        <family val="0"/>
        <charset val="1"/>
      </rPr>
      <t xml:space="preserve">/50</t>
    </r>
    <r>
      <rPr>
        <b val="true"/>
        <sz val="12"/>
        <rFont val="Noto Sans CJK SC"/>
        <family val="2"/>
      </rPr>
      <t xml:space="preserve">점</t>
    </r>
  </si>
  <si>
    <r>
      <rPr>
        <b val="true"/>
        <sz val="9"/>
        <rFont val="Noto Sans CJK SC"/>
        <family val="2"/>
      </rPr>
      <t xml:space="preserve">종합 등급 기준 </t>
    </r>
    <r>
      <rPr>
        <b val="true"/>
        <sz val="9"/>
        <rFont val="맑은 고딕"/>
        <family val="0"/>
        <charset val="1"/>
      </rPr>
      <t xml:space="preserve">(50</t>
    </r>
    <r>
      <rPr>
        <b val="true"/>
        <sz val="9"/>
        <rFont val="Noto Sans CJK SC"/>
        <family val="2"/>
      </rPr>
      <t xml:space="preserve">점 만점</t>
    </r>
    <r>
      <rPr>
        <b val="true"/>
        <sz val="9"/>
        <rFont val="맑은 고딕"/>
        <family val="0"/>
        <charset val="1"/>
      </rPr>
      <t xml:space="preserve">)</t>
    </r>
  </si>
  <si>
    <t xml:space="preserve">점수</t>
  </si>
  <si>
    <t xml:space="preserve">설명</t>
  </si>
  <si>
    <t xml:space="preserve">A</t>
  </si>
  <si>
    <r>
      <rPr>
        <b val="true"/>
        <sz val="9"/>
        <rFont val="맑은 고딕"/>
        <family val="0"/>
        <charset val="1"/>
      </rPr>
      <t xml:space="preserve">45~50</t>
    </r>
    <r>
      <rPr>
        <b val="true"/>
        <sz val="9"/>
        <rFont val="Noto Sans CJK SC"/>
        <family val="2"/>
      </rPr>
      <t xml:space="preserve">점</t>
    </r>
  </si>
  <si>
    <t xml:space="preserve">우수</t>
  </si>
  <si>
    <t xml:space="preserve">B</t>
  </si>
  <si>
    <r>
      <rPr>
        <b val="true"/>
        <sz val="9"/>
        <rFont val="맑은 고딕"/>
        <family val="0"/>
        <charset val="1"/>
      </rPr>
      <t xml:space="preserve">35~44</t>
    </r>
    <r>
      <rPr>
        <b val="true"/>
        <sz val="9"/>
        <rFont val="Noto Sans CJK SC"/>
        <family val="2"/>
      </rPr>
      <t xml:space="preserve">점</t>
    </r>
  </si>
  <si>
    <t xml:space="preserve">양호</t>
  </si>
  <si>
    <t xml:space="preserve">C</t>
  </si>
  <si>
    <r>
      <rPr>
        <b val="true"/>
        <sz val="9"/>
        <rFont val="맑은 고딕"/>
        <family val="0"/>
        <charset val="1"/>
      </rPr>
      <t xml:space="preserve">25~34</t>
    </r>
    <r>
      <rPr>
        <b val="true"/>
        <sz val="9"/>
        <rFont val="Noto Sans CJK SC"/>
        <family val="2"/>
      </rPr>
      <t xml:space="preserve">점</t>
    </r>
  </si>
  <si>
    <t xml:space="preserve">보통</t>
  </si>
  <si>
    <t xml:space="preserve">D</t>
  </si>
  <si>
    <r>
      <rPr>
        <b val="true"/>
        <sz val="9"/>
        <rFont val="맑은 고딕"/>
        <family val="0"/>
        <charset val="1"/>
      </rPr>
      <t xml:space="preserve">15~24</t>
    </r>
    <r>
      <rPr>
        <b val="true"/>
        <sz val="9"/>
        <rFont val="Noto Sans CJK SC"/>
        <family val="2"/>
      </rPr>
      <t xml:space="preserve">점</t>
    </r>
  </si>
  <si>
    <t xml:space="preserve">미흡</t>
  </si>
  <si>
    <t xml:space="preserve">F</t>
  </si>
  <si>
    <r>
      <rPr>
        <b val="true"/>
        <sz val="9"/>
        <rFont val="맑은 고딕"/>
        <family val="0"/>
        <charset val="1"/>
      </rPr>
      <t xml:space="preserve">0~14</t>
    </r>
    <r>
      <rPr>
        <b val="true"/>
        <sz val="9"/>
        <rFont val="Noto Sans CJK SC"/>
        <family val="2"/>
      </rPr>
      <t xml:space="preserve">점</t>
    </r>
  </si>
  <si>
    <t xml:space="preserve">매우 미흡</t>
  </si>
  <si>
    <r>
      <rPr>
        <b val="true"/>
        <sz val="9"/>
        <rFont val="Noto Sans CJK SC"/>
        <family val="2"/>
      </rPr>
      <t xml:space="preserve">종합 피드백</t>
    </r>
    <r>
      <rPr>
        <b val="true"/>
        <sz val="9"/>
        <rFont val="맑은 고딕"/>
        <family val="0"/>
        <charset val="1"/>
      </rPr>
      <t xml:space="preserve">: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</si>
</sst>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9"/>
      <name val="Noto Sans CJK SC"/>
      <family val="2"/>
    </font>
    <font>
      <b val="true"/>
      <sz val="9"/>
      <name val="맑은 고딕"/>
      <family val="0"/>
      <charset val="1"/>
    </font>
    <font>
      <sz val="9"/>
      <name val="맑은 고딕"/>
      <family val="0"/>
      <charset val="1"/>
    </font>
    <font>
      <b val="true"/>
      <sz val="14"/>
      <color rgb="FF1976D2"/>
      <name val="Noto Sans CJK SC"/>
      <family val="2"/>
    </font>
    <font>
      <sz val="11"/>
      <color rgb="FF0000FF"/>
      <name val="맑은 고딕"/>
      <family val="0"/>
      <charset val="1"/>
    </font>
    <font>
      <sz val="11"/>
      <color rgb="FF0000FF"/>
      <name val="Noto Sans CJK SC"/>
      <family val="2"/>
    </font>
    <font>
      <sz val="9"/>
      <color rgb="FF888888"/>
      <name val="맑은 고딕"/>
      <family val="0"/>
      <charset val="1"/>
    </font>
    <font>
      <sz val="9"/>
      <color rgb="FF888888"/>
      <name val="Noto Sans CJK SC"/>
      <family val="2"/>
    </font>
    <font>
      <b val="true"/>
      <sz val="14"/>
      <color rgb="FF1976D2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sz val="9"/>
      <name val="Noto Sans CJK SC"/>
      <family val="2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2"/>
      <color rgb="FFFFFFFF"/>
      <name val="Noto Sans CJK SC"/>
      <family val="2"/>
    </font>
    <font>
      <b val="true"/>
      <sz val="12"/>
      <name val="Noto Sans CJK SC"/>
      <family val="2"/>
    </font>
    <font>
      <b val="true"/>
      <sz val="16"/>
      <color rgb="FF1976D2"/>
      <name val="맑은 고딕"/>
      <family val="0"/>
      <charset val="1"/>
    </font>
    <font>
      <b val="true"/>
      <sz val="12"/>
      <name val="맑은 고딕"/>
      <family val="0"/>
      <charset val="1"/>
    </font>
    <font>
      <b val="true"/>
      <sz val="16"/>
      <color rgb="FFD32F2F"/>
      <name val="맑은 고딕"/>
      <family val="0"/>
      <charset val="1"/>
    </font>
    <font>
      <b val="true"/>
      <sz val="16"/>
      <name val="맑은 고딕"/>
      <family val="0"/>
      <charset val="1"/>
    </font>
    <font>
      <sz val="11"/>
      <name val="맑은 고딕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976D2"/>
        <bgColor rgb="FF3366FF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FF3E0"/>
        <bgColor rgb="FFFFEBEE"/>
      </patternFill>
    </fill>
    <fill>
      <patternFill patternType="solid">
        <fgColor rgb="FFF3E5F5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E0E0E0"/>
        <bgColor rgb="FFCFD8DC"/>
      </patternFill>
    </fill>
    <fill>
      <patternFill patternType="solid">
        <fgColor rgb="FFFFF9C4"/>
        <bgColor rgb="FFFFFFCC"/>
      </patternFill>
    </fill>
    <fill>
      <patternFill patternType="solid">
        <fgColor rgb="FFF5F5F5"/>
        <bgColor rgb="FFE8F5E9"/>
      </patternFill>
    </fill>
    <fill>
      <patternFill patternType="solid">
        <fgColor rgb="FFFFFFCC"/>
        <bgColor rgb="FFFFF9C4"/>
      </patternFill>
    </fill>
    <fill>
      <patternFill patternType="solid">
        <fgColor rgb="FFBBDEFB"/>
        <bgColor rgb="FFCFD8DC"/>
      </patternFill>
    </fill>
    <fill>
      <patternFill patternType="solid">
        <fgColor rgb="FFCFD8DC"/>
        <bgColor rgb="FFE0E0E0"/>
      </patternFill>
    </fill>
    <fill>
      <patternFill patternType="solid">
        <fgColor rgb="FF0D47A1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EBEE"/>
      <rgbColor rgb="FF888888"/>
      <rgbColor rgb="FF9999FF"/>
      <rgbColor rgb="FF993366"/>
      <rgbColor rgb="FFFFFFCC"/>
      <rgbColor rgb="FFE3F2FD"/>
      <rgbColor rgb="FF660066"/>
      <rgbColor rgb="FFFF8080"/>
      <rgbColor rgb="FF1976D2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0E0E0"/>
      <rgbColor rgb="FFFFF9C4"/>
      <rgbColor rgb="FFBBDEFB"/>
      <rgbColor rgb="FFFFF3E0"/>
      <rgbColor rgb="FFF5F5F5"/>
      <rgbColor rgb="FFF3E5F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47A1"/>
      <rgbColor rgb="FF339966"/>
      <rgbColor rgb="FF003300"/>
      <rgbColor rgb="FF333300"/>
      <rgbColor rgb="FFD32F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9" min="4" style="0" width="10"/>
    <col collapsed="false" customWidth="true" hidden="false" outlineLevel="0" max="10" min="10" style="0" width="8"/>
    <col collapsed="false" customWidth="true" hidden="false" outlineLevel="0" max="13" min="11" style="0" width="10"/>
    <col collapsed="false" customWidth="true" hidden="false" outlineLevel="0" max="14" min="14" style="0" width="8"/>
    <col collapsed="false" customWidth="true" hidden="false" outlineLevel="0" max="17" min="15" style="0" width="10"/>
    <col collapsed="false" customWidth="true" hidden="false" outlineLevel="0" max="19" min="18" style="0" width="8"/>
    <col collapsed="false" customWidth="true" hidden="false" outlineLevel="0" max="21" min="20" style="0" width="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 t="s">
        <v>7</v>
      </c>
      <c r="L1" s="2"/>
      <c r="M1" s="2"/>
      <c r="N1" s="2"/>
      <c r="O1" s="2" t="s">
        <v>8</v>
      </c>
      <c r="P1" s="2"/>
      <c r="Q1" s="2"/>
      <c r="R1" s="2"/>
      <c r="S1" s="1" t="s">
        <v>9</v>
      </c>
      <c r="T1" s="1" t="s">
        <v>10</v>
      </c>
      <c r="U1" s="1" t="s">
        <v>11</v>
      </c>
    </row>
    <row r="2" customFormat="false" ht="39.75" hidden="false" customHeight="true" outlineLevel="0" collapsed="false">
      <c r="A2" s="1"/>
      <c r="B2" s="1"/>
      <c r="C2" s="1"/>
      <c r="D2" s="1"/>
      <c r="E2" s="3" t="s">
        <v>12</v>
      </c>
      <c r="F2" s="4" t="s">
        <v>12</v>
      </c>
      <c r="G2" s="5" t="s">
        <v>13</v>
      </c>
      <c r="H2" s="5" t="s">
        <v>14</v>
      </c>
      <c r="I2" s="5" t="s">
        <v>15</v>
      </c>
      <c r="J2" s="6" t="s">
        <v>16</v>
      </c>
      <c r="K2" s="7" t="s">
        <v>17</v>
      </c>
      <c r="L2" s="7" t="s">
        <v>18</v>
      </c>
      <c r="M2" s="7" t="s">
        <v>15</v>
      </c>
      <c r="N2" s="8" t="s">
        <v>16</v>
      </c>
      <c r="O2" s="9" t="s">
        <v>19</v>
      </c>
      <c r="P2" s="9" t="s">
        <v>20</v>
      </c>
      <c r="Q2" s="9" t="s">
        <v>15</v>
      </c>
      <c r="R2" s="10" t="s">
        <v>16</v>
      </c>
      <c r="S2" s="11" t="s">
        <v>21</v>
      </c>
      <c r="T2" s="11"/>
      <c r="U2" s="12"/>
    </row>
    <row r="3" customFormat="false" ht="21.75" hidden="false" customHeight="true" outlineLevel="0" collapsed="false">
      <c r="A3" s="13" t="n">
        <v>1</v>
      </c>
      <c r="B3" s="14"/>
      <c r="C3" s="13"/>
      <c r="D3" s="15"/>
      <c r="E3" s="13"/>
      <c r="F3" s="13"/>
      <c r="G3" s="13"/>
      <c r="H3" s="13"/>
      <c r="I3" s="13"/>
      <c r="J3" s="13" t="str">
        <f aca="false">IF(OR(G3="",H3="",I3=""),"",G3+H3+I3)</f>
        <v/>
      </c>
      <c r="K3" s="13"/>
      <c r="L3" s="13"/>
      <c r="M3" s="13"/>
      <c r="N3" s="13" t="str">
        <f aca="false">IF(OR(K3="",L3="",M3=""),"",K3+L3+M3)</f>
        <v/>
      </c>
      <c r="O3" s="13"/>
      <c r="P3" s="13"/>
      <c r="Q3" s="13"/>
      <c r="R3" s="13" t="str">
        <f aca="false">IF(OR(O3="",P3="",Q3=""),"",O3+P3+Q3)</f>
        <v/>
      </c>
      <c r="S3" s="13" t="n">
        <f aca="false">IF(COUNTA(E3:R3)=0,"",SUM(E3,F3,J3,N3,R3))</f>
        <v>0</v>
      </c>
      <c r="T3" s="13" t="str">
        <f aca="false">IF(S3="","",IF(S3&gt;=45,"A",IF(S3&gt;=35,"B",IF(S3&gt;=25,"C",IF(S3&gt;=15,"D","F")))))</f>
        <v>F</v>
      </c>
      <c r="U3" s="13" t="n">
        <f aca="false">IF(S3="","",RANK(S3,$S$3:$S$22,0))</f>
        <v>1</v>
      </c>
    </row>
    <row r="4" customFormat="false" ht="21.75" hidden="false" customHeight="true" outlineLevel="0" collapsed="false">
      <c r="A4" s="13" t="n">
        <v>2</v>
      </c>
      <c r="B4" s="16"/>
      <c r="C4" s="17"/>
      <c r="D4" s="18"/>
      <c r="E4" s="17"/>
      <c r="F4" s="17"/>
      <c r="G4" s="17"/>
      <c r="H4" s="17"/>
      <c r="I4" s="17"/>
      <c r="J4" s="17" t="str">
        <f aca="false">IF(OR(G4="",H4="",I4=""),"",G4+H4+I4)</f>
        <v/>
      </c>
      <c r="K4" s="17"/>
      <c r="L4" s="17"/>
      <c r="M4" s="17"/>
      <c r="N4" s="17" t="str">
        <f aca="false">IF(OR(K4="",L4="",M4=""),"",K4+L4+M4)</f>
        <v/>
      </c>
      <c r="O4" s="17"/>
      <c r="P4" s="17"/>
      <c r="Q4" s="17"/>
      <c r="R4" s="17" t="str">
        <f aca="false">IF(OR(O4="",P4="",Q4=""),"",O4+P4+Q4)</f>
        <v/>
      </c>
      <c r="S4" s="17" t="n">
        <f aca="false">IF(COUNTA(E4:R4)=0,"",SUM(E4,F4,J4,N4,R4))</f>
        <v>0</v>
      </c>
      <c r="T4" s="17" t="str">
        <f aca="false">IF(S4="","",IF(S4&gt;=45,"A",IF(S4&gt;=35,"B",IF(S4&gt;=25,"C",IF(S4&gt;=15,"D","F")))))</f>
        <v>F</v>
      </c>
      <c r="U4" s="17" t="n">
        <f aca="false">IF(S4="","",RANK(S4,$S$3:$S$22,0))</f>
        <v>1</v>
      </c>
    </row>
    <row r="5" customFormat="false" ht="21.75" hidden="false" customHeight="true" outlineLevel="0" collapsed="false">
      <c r="A5" s="13" t="n">
        <v>3</v>
      </c>
      <c r="B5" s="14"/>
      <c r="C5" s="13"/>
      <c r="D5" s="15"/>
      <c r="E5" s="13"/>
      <c r="F5" s="13"/>
      <c r="G5" s="13"/>
      <c r="H5" s="13"/>
      <c r="I5" s="13"/>
      <c r="J5" s="13" t="str">
        <f aca="false">IF(OR(G5="",H5="",I5=""),"",G5+H5+I5)</f>
        <v/>
      </c>
      <c r="K5" s="13"/>
      <c r="L5" s="13"/>
      <c r="M5" s="13"/>
      <c r="N5" s="13" t="str">
        <f aca="false">IF(OR(K5="",L5="",M5=""),"",K5+L5+M5)</f>
        <v/>
      </c>
      <c r="O5" s="13"/>
      <c r="P5" s="13"/>
      <c r="Q5" s="13"/>
      <c r="R5" s="13" t="str">
        <f aca="false">IF(OR(O5="",P5="",Q5=""),"",O5+P5+Q5)</f>
        <v/>
      </c>
      <c r="S5" s="13" t="n">
        <f aca="false">IF(COUNTA(E5:R5)=0,"",SUM(E5,F5,J5,N5,R5))</f>
        <v>0</v>
      </c>
      <c r="T5" s="13" t="str">
        <f aca="false">IF(S5="","",IF(S5&gt;=45,"A",IF(S5&gt;=35,"B",IF(S5&gt;=25,"C",IF(S5&gt;=15,"D","F")))))</f>
        <v>F</v>
      </c>
      <c r="U5" s="13" t="n">
        <f aca="false">IF(S5="","",RANK(S5,$S$3:$S$22,0))</f>
        <v>1</v>
      </c>
    </row>
    <row r="6" customFormat="false" ht="21.75" hidden="false" customHeight="true" outlineLevel="0" collapsed="false">
      <c r="A6" s="13" t="n">
        <v>4</v>
      </c>
      <c r="B6" s="16"/>
      <c r="C6" s="17"/>
      <c r="D6" s="18"/>
      <c r="E6" s="17"/>
      <c r="F6" s="17"/>
      <c r="G6" s="17"/>
      <c r="H6" s="17"/>
      <c r="I6" s="17"/>
      <c r="J6" s="17" t="str">
        <f aca="false">IF(OR(G6="",H6="",I6=""),"",G6+H6+I6)</f>
        <v/>
      </c>
      <c r="K6" s="17"/>
      <c r="L6" s="17"/>
      <c r="M6" s="17"/>
      <c r="N6" s="17" t="str">
        <f aca="false">IF(OR(K6="",L6="",M6=""),"",K6+L6+M6)</f>
        <v/>
      </c>
      <c r="O6" s="17"/>
      <c r="P6" s="17"/>
      <c r="Q6" s="17"/>
      <c r="R6" s="17" t="str">
        <f aca="false">IF(OR(O6="",P6="",Q6=""),"",O6+P6+Q6)</f>
        <v/>
      </c>
      <c r="S6" s="17" t="n">
        <f aca="false">IF(COUNTA(E6:R6)=0,"",SUM(E6,F6,J6,N6,R6))</f>
        <v>0</v>
      </c>
      <c r="T6" s="17" t="str">
        <f aca="false">IF(S6="","",IF(S6&gt;=45,"A",IF(S6&gt;=35,"B",IF(S6&gt;=25,"C",IF(S6&gt;=15,"D","F")))))</f>
        <v>F</v>
      </c>
      <c r="U6" s="17" t="n">
        <f aca="false">IF(S6="","",RANK(S6,$S$3:$S$22,0))</f>
        <v>1</v>
      </c>
    </row>
    <row r="7" customFormat="false" ht="21.75" hidden="false" customHeight="true" outlineLevel="0" collapsed="false">
      <c r="A7" s="13" t="n">
        <v>5</v>
      </c>
      <c r="B7" s="14"/>
      <c r="C7" s="13"/>
      <c r="D7" s="15"/>
      <c r="E7" s="13"/>
      <c r="F7" s="13"/>
      <c r="G7" s="13"/>
      <c r="H7" s="13"/>
      <c r="I7" s="13"/>
      <c r="J7" s="13" t="str">
        <f aca="false">IF(OR(G7="",H7="",I7=""),"",G7+H7+I7)</f>
        <v/>
      </c>
      <c r="K7" s="13"/>
      <c r="L7" s="13"/>
      <c r="M7" s="13"/>
      <c r="N7" s="13" t="str">
        <f aca="false">IF(OR(K7="",L7="",M7=""),"",K7+L7+M7)</f>
        <v/>
      </c>
      <c r="O7" s="13"/>
      <c r="P7" s="13"/>
      <c r="Q7" s="13"/>
      <c r="R7" s="13" t="str">
        <f aca="false">IF(OR(O7="",P7="",Q7=""),"",O7+P7+Q7)</f>
        <v/>
      </c>
      <c r="S7" s="13" t="n">
        <f aca="false">IF(COUNTA(E7:R7)=0,"",SUM(E7,F7,J7,N7,R7))</f>
        <v>0</v>
      </c>
      <c r="T7" s="13" t="str">
        <f aca="false">IF(S7="","",IF(S7&gt;=45,"A",IF(S7&gt;=35,"B",IF(S7&gt;=25,"C",IF(S7&gt;=15,"D","F")))))</f>
        <v>F</v>
      </c>
      <c r="U7" s="13" t="n">
        <f aca="false">IF(S7="","",RANK(S7,$S$3:$S$22,0))</f>
        <v>1</v>
      </c>
    </row>
    <row r="8" customFormat="false" ht="21.75" hidden="false" customHeight="true" outlineLevel="0" collapsed="false">
      <c r="A8" s="13" t="n">
        <v>6</v>
      </c>
      <c r="B8" s="16"/>
      <c r="C8" s="17"/>
      <c r="D8" s="18"/>
      <c r="E8" s="17"/>
      <c r="F8" s="17"/>
      <c r="G8" s="17"/>
      <c r="H8" s="17"/>
      <c r="I8" s="17"/>
      <c r="J8" s="17" t="str">
        <f aca="false">IF(OR(G8="",H8="",I8=""),"",G8+H8+I8)</f>
        <v/>
      </c>
      <c r="K8" s="17"/>
      <c r="L8" s="17"/>
      <c r="M8" s="17"/>
      <c r="N8" s="17" t="str">
        <f aca="false">IF(OR(K8="",L8="",M8=""),"",K8+L8+M8)</f>
        <v/>
      </c>
      <c r="O8" s="17"/>
      <c r="P8" s="17"/>
      <c r="Q8" s="17"/>
      <c r="R8" s="17" t="str">
        <f aca="false">IF(OR(O8="",P8="",Q8=""),"",O8+P8+Q8)</f>
        <v/>
      </c>
      <c r="S8" s="17" t="n">
        <f aca="false">IF(COUNTA(E8:R8)=0,"",SUM(E8,F8,J8,N8,R8))</f>
        <v>0</v>
      </c>
      <c r="T8" s="17" t="str">
        <f aca="false">IF(S8="","",IF(S8&gt;=45,"A",IF(S8&gt;=35,"B",IF(S8&gt;=25,"C",IF(S8&gt;=15,"D","F")))))</f>
        <v>F</v>
      </c>
      <c r="U8" s="17" t="n">
        <f aca="false">IF(S8="","",RANK(S8,$S$3:$S$22,0))</f>
        <v>1</v>
      </c>
    </row>
    <row r="9" customFormat="false" ht="21.75" hidden="false" customHeight="true" outlineLevel="0" collapsed="false">
      <c r="A9" s="13" t="n">
        <v>7</v>
      </c>
      <c r="B9" s="14"/>
      <c r="C9" s="13"/>
      <c r="D9" s="15"/>
      <c r="E9" s="13"/>
      <c r="F9" s="13"/>
      <c r="G9" s="13"/>
      <c r="H9" s="13"/>
      <c r="I9" s="13"/>
      <c r="J9" s="13" t="str">
        <f aca="false">IF(OR(G9="",H9="",I9=""),"",G9+H9+I9)</f>
        <v/>
      </c>
      <c r="K9" s="13"/>
      <c r="L9" s="13"/>
      <c r="M9" s="13"/>
      <c r="N9" s="13" t="str">
        <f aca="false">IF(OR(K9="",L9="",M9=""),"",K9+L9+M9)</f>
        <v/>
      </c>
      <c r="O9" s="13"/>
      <c r="P9" s="13"/>
      <c r="Q9" s="13"/>
      <c r="R9" s="13" t="str">
        <f aca="false">IF(OR(O9="",P9="",Q9=""),"",O9+P9+Q9)</f>
        <v/>
      </c>
      <c r="S9" s="13" t="n">
        <f aca="false">IF(COUNTA(E9:R9)=0,"",SUM(E9,F9,J9,N9,R9))</f>
        <v>0</v>
      </c>
      <c r="T9" s="13" t="str">
        <f aca="false">IF(S9="","",IF(S9&gt;=45,"A",IF(S9&gt;=35,"B",IF(S9&gt;=25,"C",IF(S9&gt;=15,"D","F")))))</f>
        <v>F</v>
      </c>
      <c r="U9" s="13" t="n">
        <f aca="false">IF(S9="","",RANK(S9,$S$3:$S$22,0))</f>
        <v>1</v>
      </c>
    </row>
    <row r="10" customFormat="false" ht="21.75" hidden="false" customHeight="true" outlineLevel="0" collapsed="false">
      <c r="A10" s="13" t="n">
        <v>8</v>
      </c>
      <c r="B10" s="16"/>
      <c r="C10" s="17"/>
      <c r="D10" s="18"/>
      <c r="E10" s="17"/>
      <c r="F10" s="17"/>
      <c r="G10" s="17"/>
      <c r="H10" s="17"/>
      <c r="I10" s="17"/>
      <c r="J10" s="17" t="str">
        <f aca="false">IF(OR(G10="",H10="",I10=""),"",G10+H10+I10)</f>
        <v/>
      </c>
      <c r="K10" s="17"/>
      <c r="L10" s="17"/>
      <c r="M10" s="17"/>
      <c r="N10" s="17" t="str">
        <f aca="false">IF(OR(K10="",L10="",M10=""),"",K10+L10+M10)</f>
        <v/>
      </c>
      <c r="O10" s="17"/>
      <c r="P10" s="17"/>
      <c r="Q10" s="17"/>
      <c r="R10" s="17" t="str">
        <f aca="false">IF(OR(O10="",P10="",Q10=""),"",O10+P10+Q10)</f>
        <v/>
      </c>
      <c r="S10" s="17" t="n">
        <f aca="false">IF(COUNTA(E10:R10)=0,"",SUM(E10,F10,J10,N10,R10))</f>
        <v>0</v>
      </c>
      <c r="T10" s="17" t="str">
        <f aca="false">IF(S10="","",IF(S10&gt;=45,"A",IF(S10&gt;=35,"B",IF(S10&gt;=25,"C",IF(S10&gt;=15,"D","F")))))</f>
        <v>F</v>
      </c>
      <c r="U10" s="17" t="n">
        <f aca="false">IF(S10="","",RANK(S10,$S$3:$S$22,0))</f>
        <v>1</v>
      </c>
    </row>
    <row r="11" customFormat="false" ht="21.75" hidden="false" customHeight="true" outlineLevel="0" collapsed="false">
      <c r="A11" s="13" t="n">
        <v>9</v>
      </c>
      <c r="B11" s="14"/>
      <c r="C11" s="13"/>
      <c r="D11" s="15"/>
      <c r="E11" s="13"/>
      <c r="F11" s="13"/>
      <c r="G11" s="13"/>
      <c r="H11" s="13"/>
      <c r="I11" s="13"/>
      <c r="J11" s="13" t="str">
        <f aca="false">IF(OR(G11="",H11="",I11=""),"",G11+H11+I11)</f>
        <v/>
      </c>
      <c r="K11" s="13"/>
      <c r="L11" s="13"/>
      <c r="M11" s="13"/>
      <c r="N11" s="13" t="str">
        <f aca="false">IF(OR(K11="",L11="",M11=""),"",K11+L11+M11)</f>
        <v/>
      </c>
      <c r="O11" s="13"/>
      <c r="P11" s="13"/>
      <c r="Q11" s="13"/>
      <c r="R11" s="13" t="str">
        <f aca="false">IF(OR(O11="",P11="",Q11=""),"",O11+P11+Q11)</f>
        <v/>
      </c>
      <c r="S11" s="13" t="n">
        <f aca="false">IF(COUNTA(E11:R11)=0,"",SUM(E11,F11,J11,N11,R11))</f>
        <v>0</v>
      </c>
      <c r="T11" s="13" t="str">
        <f aca="false">IF(S11="","",IF(S11&gt;=45,"A",IF(S11&gt;=35,"B",IF(S11&gt;=25,"C",IF(S11&gt;=15,"D","F")))))</f>
        <v>F</v>
      </c>
      <c r="U11" s="13" t="n">
        <f aca="false">IF(S11="","",RANK(S11,$S$3:$S$22,0))</f>
        <v>1</v>
      </c>
    </row>
    <row r="12" customFormat="false" ht="21.75" hidden="false" customHeight="true" outlineLevel="0" collapsed="false">
      <c r="A12" s="13" t="n">
        <v>10</v>
      </c>
      <c r="B12" s="16"/>
      <c r="C12" s="17"/>
      <c r="D12" s="18"/>
      <c r="E12" s="17"/>
      <c r="F12" s="17"/>
      <c r="G12" s="17"/>
      <c r="H12" s="17"/>
      <c r="I12" s="17"/>
      <c r="J12" s="17" t="str">
        <f aca="false">IF(OR(G12="",H12="",I12=""),"",G12+H12+I12)</f>
        <v/>
      </c>
      <c r="K12" s="17"/>
      <c r="L12" s="17"/>
      <c r="M12" s="17"/>
      <c r="N12" s="17" t="str">
        <f aca="false">IF(OR(K12="",L12="",M12=""),"",K12+L12+M12)</f>
        <v/>
      </c>
      <c r="O12" s="17"/>
      <c r="P12" s="17"/>
      <c r="Q12" s="17"/>
      <c r="R12" s="17" t="str">
        <f aca="false">IF(OR(O12="",P12="",Q12=""),"",O12+P12+Q12)</f>
        <v/>
      </c>
      <c r="S12" s="17" t="n">
        <f aca="false">IF(COUNTA(E12:R12)=0,"",SUM(E12,F12,J12,N12,R12))</f>
        <v>0</v>
      </c>
      <c r="T12" s="17" t="str">
        <f aca="false">IF(S12="","",IF(S12&gt;=45,"A",IF(S12&gt;=35,"B",IF(S12&gt;=25,"C",IF(S12&gt;=15,"D","F")))))</f>
        <v>F</v>
      </c>
      <c r="U12" s="17" t="n">
        <f aca="false">IF(S12="","",RANK(S12,$S$3:$S$22,0))</f>
        <v>1</v>
      </c>
    </row>
    <row r="13" customFormat="false" ht="21.75" hidden="false" customHeight="true" outlineLevel="0" collapsed="false">
      <c r="A13" s="13" t="n">
        <v>11</v>
      </c>
      <c r="B13" s="14"/>
      <c r="C13" s="13"/>
      <c r="D13" s="15"/>
      <c r="E13" s="13"/>
      <c r="F13" s="13"/>
      <c r="G13" s="13"/>
      <c r="H13" s="13"/>
      <c r="I13" s="13"/>
      <c r="J13" s="13" t="str">
        <f aca="false">IF(OR(G13="",H13="",I13=""),"",G13+H13+I13)</f>
        <v/>
      </c>
      <c r="K13" s="13"/>
      <c r="L13" s="13"/>
      <c r="M13" s="13"/>
      <c r="N13" s="13" t="str">
        <f aca="false">IF(OR(K13="",L13="",M13=""),"",K13+L13+M13)</f>
        <v/>
      </c>
      <c r="O13" s="13"/>
      <c r="P13" s="13"/>
      <c r="Q13" s="13"/>
      <c r="R13" s="13" t="str">
        <f aca="false">IF(OR(O13="",P13="",Q13=""),"",O13+P13+Q13)</f>
        <v/>
      </c>
      <c r="S13" s="13" t="n">
        <f aca="false">IF(COUNTA(E13:R13)=0,"",SUM(E13,F13,J13,N13,R13))</f>
        <v>0</v>
      </c>
      <c r="T13" s="13" t="str">
        <f aca="false">IF(S13="","",IF(S13&gt;=45,"A",IF(S13&gt;=35,"B",IF(S13&gt;=25,"C",IF(S13&gt;=15,"D","F")))))</f>
        <v>F</v>
      </c>
      <c r="U13" s="13" t="n">
        <f aca="false">IF(S13="","",RANK(S13,$S$3:$S$22,0))</f>
        <v>1</v>
      </c>
    </row>
    <row r="14" customFormat="false" ht="21.75" hidden="false" customHeight="true" outlineLevel="0" collapsed="false">
      <c r="A14" s="13" t="n">
        <v>12</v>
      </c>
      <c r="B14" s="16"/>
      <c r="C14" s="17"/>
      <c r="D14" s="18"/>
      <c r="E14" s="17"/>
      <c r="F14" s="17"/>
      <c r="G14" s="17"/>
      <c r="H14" s="17"/>
      <c r="I14" s="17"/>
      <c r="J14" s="17" t="str">
        <f aca="false">IF(OR(G14="",H14="",I14=""),"",G14+H14+I14)</f>
        <v/>
      </c>
      <c r="K14" s="17"/>
      <c r="L14" s="17"/>
      <c r="M14" s="17"/>
      <c r="N14" s="17" t="str">
        <f aca="false">IF(OR(K14="",L14="",M14=""),"",K14+L14+M14)</f>
        <v/>
      </c>
      <c r="O14" s="17"/>
      <c r="P14" s="17"/>
      <c r="Q14" s="17"/>
      <c r="R14" s="17" t="str">
        <f aca="false">IF(OR(O14="",P14="",Q14=""),"",O14+P14+Q14)</f>
        <v/>
      </c>
      <c r="S14" s="17" t="n">
        <f aca="false">IF(COUNTA(E14:R14)=0,"",SUM(E14,F14,J14,N14,R14))</f>
        <v>0</v>
      </c>
      <c r="T14" s="17" t="str">
        <f aca="false">IF(S14="","",IF(S14&gt;=45,"A",IF(S14&gt;=35,"B",IF(S14&gt;=25,"C",IF(S14&gt;=15,"D","F")))))</f>
        <v>F</v>
      </c>
      <c r="U14" s="17" t="n">
        <f aca="false">IF(S14="","",RANK(S14,$S$3:$S$22,0))</f>
        <v>1</v>
      </c>
    </row>
    <row r="15" customFormat="false" ht="21.75" hidden="false" customHeight="true" outlineLevel="0" collapsed="false">
      <c r="A15" s="13" t="n">
        <v>13</v>
      </c>
      <c r="B15" s="14"/>
      <c r="C15" s="13"/>
      <c r="D15" s="15"/>
      <c r="E15" s="13"/>
      <c r="F15" s="13"/>
      <c r="G15" s="13"/>
      <c r="H15" s="13"/>
      <c r="I15" s="13"/>
      <c r="J15" s="13" t="str">
        <f aca="false">IF(OR(G15="",H15="",I15=""),"",G15+H15+I15)</f>
        <v/>
      </c>
      <c r="K15" s="13"/>
      <c r="L15" s="13"/>
      <c r="M15" s="13"/>
      <c r="N15" s="13" t="str">
        <f aca="false">IF(OR(K15="",L15="",M15=""),"",K15+L15+M15)</f>
        <v/>
      </c>
      <c r="O15" s="13"/>
      <c r="P15" s="13"/>
      <c r="Q15" s="13"/>
      <c r="R15" s="13" t="str">
        <f aca="false">IF(OR(O15="",P15="",Q15=""),"",O15+P15+Q15)</f>
        <v/>
      </c>
      <c r="S15" s="13" t="n">
        <f aca="false">IF(COUNTA(E15:R15)=0,"",SUM(E15,F15,J15,N15,R15))</f>
        <v>0</v>
      </c>
      <c r="T15" s="13" t="str">
        <f aca="false">IF(S15="","",IF(S15&gt;=45,"A",IF(S15&gt;=35,"B",IF(S15&gt;=25,"C",IF(S15&gt;=15,"D","F")))))</f>
        <v>F</v>
      </c>
      <c r="U15" s="13" t="n">
        <f aca="false">IF(S15="","",RANK(S15,$S$3:$S$22,0))</f>
        <v>1</v>
      </c>
    </row>
    <row r="16" customFormat="false" ht="21.75" hidden="false" customHeight="true" outlineLevel="0" collapsed="false">
      <c r="A16" s="13" t="n">
        <v>14</v>
      </c>
      <c r="B16" s="16"/>
      <c r="C16" s="17"/>
      <c r="D16" s="18"/>
      <c r="E16" s="17"/>
      <c r="F16" s="17"/>
      <c r="G16" s="17"/>
      <c r="H16" s="17"/>
      <c r="I16" s="17"/>
      <c r="J16" s="17" t="str">
        <f aca="false">IF(OR(G16="",H16="",I16=""),"",G16+H16+I16)</f>
        <v/>
      </c>
      <c r="K16" s="17"/>
      <c r="L16" s="17"/>
      <c r="M16" s="17"/>
      <c r="N16" s="17" t="str">
        <f aca="false">IF(OR(K16="",L16="",M16=""),"",K16+L16+M16)</f>
        <v/>
      </c>
      <c r="O16" s="17"/>
      <c r="P16" s="17"/>
      <c r="Q16" s="17"/>
      <c r="R16" s="17" t="str">
        <f aca="false">IF(OR(O16="",P16="",Q16=""),"",O16+P16+Q16)</f>
        <v/>
      </c>
      <c r="S16" s="17" t="n">
        <f aca="false">IF(COUNTA(E16:R16)=0,"",SUM(E16,F16,J16,N16,R16))</f>
        <v>0</v>
      </c>
      <c r="T16" s="17" t="str">
        <f aca="false">IF(S16="","",IF(S16&gt;=45,"A",IF(S16&gt;=35,"B",IF(S16&gt;=25,"C",IF(S16&gt;=15,"D","F")))))</f>
        <v>F</v>
      </c>
      <c r="U16" s="17" t="n">
        <f aca="false">IF(S16="","",RANK(S16,$S$3:$S$22,0))</f>
        <v>1</v>
      </c>
    </row>
    <row r="17" customFormat="false" ht="21.75" hidden="false" customHeight="true" outlineLevel="0" collapsed="false">
      <c r="A17" s="13" t="n">
        <v>15</v>
      </c>
      <c r="B17" s="14"/>
      <c r="C17" s="13"/>
      <c r="D17" s="15"/>
      <c r="E17" s="13"/>
      <c r="F17" s="13"/>
      <c r="G17" s="13"/>
      <c r="H17" s="13"/>
      <c r="I17" s="13"/>
      <c r="J17" s="13" t="str">
        <f aca="false">IF(OR(G17="",H17="",I17=""),"",G17+H17+I17)</f>
        <v/>
      </c>
      <c r="K17" s="13"/>
      <c r="L17" s="13"/>
      <c r="M17" s="13"/>
      <c r="N17" s="13" t="str">
        <f aca="false">IF(OR(K17="",L17="",M17=""),"",K17+L17+M17)</f>
        <v/>
      </c>
      <c r="O17" s="13"/>
      <c r="P17" s="13"/>
      <c r="Q17" s="13"/>
      <c r="R17" s="13" t="str">
        <f aca="false">IF(OR(O17="",P17="",Q17=""),"",O17+P17+Q17)</f>
        <v/>
      </c>
      <c r="S17" s="13" t="n">
        <f aca="false">IF(COUNTA(E17:R17)=0,"",SUM(E17,F17,J17,N17,R17))</f>
        <v>0</v>
      </c>
      <c r="T17" s="13" t="str">
        <f aca="false">IF(S17="","",IF(S17&gt;=45,"A",IF(S17&gt;=35,"B",IF(S17&gt;=25,"C",IF(S17&gt;=15,"D","F")))))</f>
        <v>F</v>
      </c>
      <c r="U17" s="13" t="n">
        <f aca="false">IF(S17="","",RANK(S17,$S$3:$S$22,0))</f>
        <v>1</v>
      </c>
    </row>
    <row r="18" customFormat="false" ht="21.75" hidden="false" customHeight="true" outlineLevel="0" collapsed="false">
      <c r="A18" s="13" t="n">
        <v>16</v>
      </c>
      <c r="B18" s="16"/>
      <c r="C18" s="17"/>
      <c r="D18" s="18"/>
      <c r="E18" s="17"/>
      <c r="F18" s="17"/>
      <c r="G18" s="17"/>
      <c r="H18" s="17"/>
      <c r="I18" s="17"/>
      <c r="J18" s="17" t="str">
        <f aca="false">IF(OR(G18="",H18="",I18=""),"",G18+H18+I18)</f>
        <v/>
      </c>
      <c r="K18" s="17"/>
      <c r="L18" s="17"/>
      <c r="M18" s="17"/>
      <c r="N18" s="17" t="str">
        <f aca="false">IF(OR(K18="",L18="",M18=""),"",K18+L18+M18)</f>
        <v/>
      </c>
      <c r="O18" s="17"/>
      <c r="P18" s="17"/>
      <c r="Q18" s="17"/>
      <c r="R18" s="17" t="str">
        <f aca="false">IF(OR(O18="",P18="",Q18=""),"",O18+P18+Q18)</f>
        <v/>
      </c>
      <c r="S18" s="17" t="n">
        <f aca="false">IF(COUNTA(E18:R18)=0,"",SUM(E18,F18,J18,N18,R18))</f>
        <v>0</v>
      </c>
      <c r="T18" s="17" t="str">
        <f aca="false">IF(S18="","",IF(S18&gt;=45,"A",IF(S18&gt;=35,"B",IF(S18&gt;=25,"C",IF(S18&gt;=15,"D","F")))))</f>
        <v>F</v>
      </c>
      <c r="U18" s="17" t="n">
        <f aca="false">IF(S18="","",RANK(S18,$S$3:$S$22,0))</f>
        <v>1</v>
      </c>
    </row>
    <row r="19" customFormat="false" ht="21.75" hidden="false" customHeight="true" outlineLevel="0" collapsed="false">
      <c r="A19" s="13" t="n">
        <v>17</v>
      </c>
      <c r="B19" s="14"/>
      <c r="C19" s="13"/>
      <c r="D19" s="15"/>
      <c r="E19" s="13"/>
      <c r="F19" s="13"/>
      <c r="G19" s="13"/>
      <c r="H19" s="13"/>
      <c r="I19" s="13"/>
      <c r="J19" s="13" t="str">
        <f aca="false">IF(OR(G19="",H19="",I19=""),"",G19+H19+I19)</f>
        <v/>
      </c>
      <c r="K19" s="13"/>
      <c r="L19" s="13"/>
      <c r="M19" s="13"/>
      <c r="N19" s="13" t="str">
        <f aca="false">IF(OR(K19="",L19="",M19=""),"",K19+L19+M19)</f>
        <v/>
      </c>
      <c r="O19" s="13"/>
      <c r="P19" s="13"/>
      <c r="Q19" s="13"/>
      <c r="R19" s="13" t="str">
        <f aca="false">IF(OR(O19="",P19="",Q19=""),"",O19+P19+Q19)</f>
        <v/>
      </c>
      <c r="S19" s="13" t="n">
        <f aca="false">IF(COUNTA(E19:R19)=0,"",SUM(E19,F19,J19,N19,R19))</f>
        <v>0</v>
      </c>
      <c r="T19" s="13" t="str">
        <f aca="false">IF(S19="","",IF(S19&gt;=45,"A",IF(S19&gt;=35,"B",IF(S19&gt;=25,"C",IF(S19&gt;=15,"D","F")))))</f>
        <v>F</v>
      </c>
      <c r="U19" s="13" t="n">
        <f aca="false">IF(S19="","",RANK(S19,$S$3:$S$22,0))</f>
        <v>1</v>
      </c>
    </row>
    <row r="20" customFormat="false" ht="21.75" hidden="false" customHeight="true" outlineLevel="0" collapsed="false">
      <c r="A20" s="13" t="n">
        <v>18</v>
      </c>
      <c r="B20" s="16"/>
      <c r="C20" s="17"/>
      <c r="D20" s="18"/>
      <c r="E20" s="17"/>
      <c r="F20" s="17"/>
      <c r="G20" s="17"/>
      <c r="H20" s="17"/>
      <c r="I20" s="17"/>
      <c r="J20" s="17" t="str">
        <f aca="false">IF(OR(G20="",H20="",I20=""),"",G20+H20+I20)</f>
        <v/>
      </c>
      <c r="K20" s="17"/>
      <c r="L20" s="17"/>
      <c r="M20" s="17"/>
      <c r="N20" s="17" t="str">
        <f aca="false">IF(OR(K20="",L20="",M20=""),"",K20+L20+M20)</f>
        <v/>
      </c>
      <c r="O20" s="17"/>
      <c r="P20" s="17"/>
      <c r="Q20" s="17"/>
      <c r="R20" s="17" t="str">
        <f aca="false">IF(OR(O20="",P20="",Q20=""),"",O20+P20+Q20)</f>
        <v/>
      </c>
      <c r="S20" s="17" t="n">
        <f aca="false">IF(COUNTA(E20:R20)=0,"",SUM(E20,F20,J20,N20,R20))</f>
        <v>0</v>
      </c>
      <c r="T20" s="17" t="str">
        <f aca="false">IF(S20="","",IF(S20&gt;=45,"A",IF(S20&gt;=35,"B",IF(S20&gt;=25,"C",IF(S20&gt;=15,"D","F")))))</f>
        <v>F</v>
      </c>
      <c r="U20" s="17" t="n">
        <f aca="false">IF(S20="","",RANK(S20,$S$3:$S$22,0))</f>
        <v>1</v>
      </c>
    </row>
    <row r="21" customFormat="false" ht="21.75" hidden="false" customHeight="true" outlineLevel="0" collapsed="false">
      <c r="A21" s="13" t="n">
        <v>19</v>
      </c>
      <c r="B21" s="14"/>
      <c r="C21" s="13"/>
      <c r="D21" s="15"/>
      <c r="E21" s="13"/>
      <c r="F21" s="13"/>
      <c r="G21" s="13"/>
      <c r="H21" s="13"/>
      <c r="I21" s="13"/>
      <c r="J21" s="13" t="str">
        <f aca="false">IF(OR(G21="",H21="",I21=""),"",G21+H21+I21)</f>
        <v/>
      </c>
      <c r="K21" s="13"/>
      <c r="L21" s="13"/>
      <c r="M21" s="13"/>
      <c r="N21" s="13" t="str">
        <f aca="false">IF(OR(K21="",L21="",M21=""),"",K21+L21+M21)</f>
        <v/>
      </c>
      <c r="O21" s="13"/>
      <c r="P21" s="13"/>
      <c r="Q21" s="13"/>
      <c r="R21" s="13" t="str">
        <f aca="false">IF(OR(O21="",P21="",Q21=""),"",O21+P21+Q21)</f>
        <v/>
      </c>
      <c r="S21" s="13" t="n">
        <f aca="false">IF(COUNTA(E21:R21)=0,"",SUM(E21,F21,J21,N21,R21))</f>
        <v>0</v>
      </c>
      <c r="T21" s="13" t="str">
        <f aca="false">IF(S21="","",IF(S21&gt;=45,"A",IF(S21&gt;=35,"B",IF(S21&gt;=25,"C",IF(S21&gt;=15,"D","F")))))</f>
        <v>F</v>
      </c>
      <c r="U21" s="13" t="n">
        <f aca="false">IF(S21="","",RANK(S21,$S$3:$S$22,0))</f>
        <v>1</v>
      </c>
    </row>
    <row r="22" customFormat="false" ht="21.75" hidden="false" customHeight="true" outlineLevel="0" collapsed="false">
      <c r="A22" s="13" t="n">
        <v>20</v>
      </c>
      <c r="B22" s="16"/>
      <c r="C22" s="17"/>
      <c r="D22" s="18"/>
      <c r="E22" s="17"/>
      <c r="F22" s="17"/>
      <c r="G22" s="17"/>
      <c r="H22" s="17"/>
      <c r="I22" s="17"/>
      <c r="J22" s="17" t="str">
        <f aca="false">IF(OR(G22="",H22="",I22=""),"",G22+H22+I22)</f>
        <v/>
      </c>
      <c r="K22" s="17"/>
      <c r="L22" s="17"/>
      <c r="M22" s="17"/>
      <c r="N22" s="17" t="str">
        <f aca="false">IF(OR(K22="",L22="",M22=""),"",K22+L22+M22)</f>
        <v/>
      </c>
      <c r="O22" s="17"/>
      <c r="P22" s="17"/>
      <c r="Q22" s="17"/>
      <c r="R22" s="17" t="str">
        <f aca="false">IF(OR(O22="",P22="",Q22=""),"",O22+P22+Q22)</f>
        <v/>
      </c>
      <c r="S22" s="17" t="n">
        <f aca="false">IF(COUNTA(E22:R22)=0,"",SUM(E22,F22,J22,N22,R22))</f>
        <v>0</v>
      </c>
      <c r="T22" s="17" t="str">
        <f aca="false">IF(S22="","",IF(S22&gt;=45,"A",IF(S22&gt;=35,"B",IF(S22&gt;=25,"C",IF(S22&gt;=15,"D","F")))))</f>
        <v>F</v>
      </c>
      <c r="U22" s="17" t="n">
        <f aca="false">IF(S22="","",RANK(S22,$S$3:$S$22,0))</f>
        <v>1</v>
      </c>
    </row>
  </sheetData>
  <mergeCells count="7">
    <mergeCell ref="A1:A2"/>
    <mergeCell ref="B1:B2"/>
    <mergeCell ref="C1:C2"/>
    <mergeCell ref="D1:D2"/>
    <mergeCell ref="G1:J1"/>
    <mergeCell ref="K1:N1"/>
    <mergeCell ref="O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9" min="4" style="0" width="10"/>
    <col collapsed="false" customWidth="true" hidden="false" outlineLevel="0" max="10" min="10" style="0" width="8"/>
    <col collapsed="false" customWidth="true" hidden="false" outlineLevel="0" max="13" min="11" style="0" width="10"/>
    <col collapsed="false" customWidth="true" hidden="false" outlineLevel="0" max="14" min="14" style="0" width="8"/>
    <col collapsed="false" customWidth="true" hidden="false" outlineLevel="0" max="17" min="15" style="0" width="10"/>
    <col collapsed="false" customWidth="true" hidden="false" outlineLevel="0" max="19" min="18" style="0" width="8"/>
    <col collapsed="false" customWidth="true" hidden="false" outlineLevel="0" max="21" min="20" style="0" width="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 t="s">
        <v>7</v>
      </c>
      <c r="L1" s="2"/>
      <c r="M1" s="2"/>
      <c r="N1" s="2"/>
      <c r="O1" s="2" t="s">
        <v>8</v>
      </c>
      <c r="P1" s="2"/>
      <c r="Q1" s="2"/>
      <c r="R1" s="2"/>
      <c r="S1" s="1" t="s">
        <v>9</v>
      </c>
      <c r="T1" s="1" t="s">
        <v>10</v>
      </c>
      <c r="U1" s="1" t="s">
        <v>11</v>
      </c>
    </row>
    <row r="2" customFormat="false" ht="39.75" hidden="false" customHeight="true" outlineLevel="0" collapsed="false">
      <c r="A2" s="1"/>
      <c r="B2" s="1"/>
      <c r="C2" s="1"/>
      <c r="D2" s="1"/>
      <c r="E2" s="3" t="s">
        <v>12</v>
      </c>
      <c r="F2" s="4" t="s">
        <v>12</v>
      </c>
      <c r="G2" s="5" t="s">
        <v>13</v>
      </c>
      <c r="H2" s="5" t="s">
        <v>14</v>
      </c>
      <c r="I2" s="5" t="s">
        <v>15</v>
      </c>
      <c r="J2" s="6" t="s">
        <v>16</v>
      </c>
      <c r="K2" s="7" t="s">
        <v>17</v>
      </c>
      <c r="L2" s="7" t="s">
        <v>18</v>
      </c>
      <c r="M2" s="7" t="s">
        <v>15</v>
      </c>
      <c r="N2" s="8" t="s">
        <v>16</v>
      </c>
      <c r="O2" s="9" t="s">
        <v>19</v>
      </c>
      <c r="P2" s="9" t="s">
        <v>20</v>
      </c>
      <c r="Q2" s="9" t="s">
        <v>15</v>
      </c>
      <c r="R2" s="10" t="s">
        <v>16</v>
      </c>
      <c r="S2" s="11" t="s">
        <v>21</v>
      </c>
      <c r="T2" s="11"/>
      <c r="U2" s="12"/>
    </row>
    <row r="3" customFormat="false" ht="21.75" hidden="false" customHeight="true" outlineLevel="0" collapsed="false">
      <c r="A3" s="13" t="n">
        <v>1</v>
      </c>
      <c r="B3" s="14"/>
      <c r="C3" s="13"/>
      <c r="D3" s="15"/>
      <c r="E3" s="13"/>
      <c r="F3" s="13"/>
      <c r="G3" s="13"/>
      <c r="H3" s="13"/>
      <c r="I3" s="13"/>
      <c r="J3" s="13" t="str">
        <f aca="false">IF(OR(G3="",H3="",I3=""),"",G3+H3+I3)</f>
        <v/>
      </c>
      <c r="K3" s="13"/>
      <c r="L3" s="13"/>
      <c r="M3" s="13"/>
      <c r="N3" s="13" t="str">
        <f aca="false">IF(OR(K3="",L3="",M3=""),"",K3+L3+M3)</f>
        <v/>
      </c>
      <c r="O3" s="13"/>
      <c r="P3" s="13"/>
      <c r="Q3" s="13"/>
      <c r="R3" s="13" t="str">
        <f aca="false">IF(OR(O3="",P3="",Q3=""),"",O3+P3+Q3)</f>
        <v/>
      </c>
      <c r="S3" s="13" t="n">
        <f aca="false">IF(COUNTA(E3:R3)=0,"",SUM(E3,F3,J3,N3,R3))</f>
        <v>0</v>
      </c>
      <c r="T3" s="13" t="str">
        <f aca="false">IF(S3="","",IF(S3&gt;=45,"A",IF(S3&gt;=35,"B",IF(S3&gt;=25,"C",IF(S3&gt;=15,"D","F")))))</f>
        <v>F</v>
      </c>
      <c r="U3" s="13" t="n">
        <f aca="false">IF(S3="","",RANK(S3,$S$3:$S$22,0))</f>
        <v>1</v>
      </c>
    </row>
    <row r="4" customFormat="false" ht="21.75" hidden="false" customHeight="true" outlineLevel="0" collapsed="false">
      <c r="A4" s="13" t="n">
        <v>2</v>
      </c>
      <c r="B4" s="16"/>
      <c r="C4" s="17"/>
      <c r="D4" s="18"/>
      <c r="E4" s="17"/>
      <c r="F4" s="17"/>
      <c r="G4" s="17"/>
      <c r="H4" s="17"/>
      <c r="I4" s="17"/>
      <c r="J4" s="17" t="str">
        <f aca="false">IF(OR(G4="",H4="",I4=""),"",G4+H4+I4)</f>
        <v/>
      </c>
      <c r="K4" s="17"/>
      <c r="L4" s="17"/>
      <c r="M4" s="17"/>
      <c r="N4" s="17" t="str">
        <f aca="false">IF(OR(K4="",L4="",M4=""),"",K4+L4+M4)</f>
        <v/>
      </c>
      <c r="O4" s="17"/>
      <c r="P4" s="17"/>
      <c r="Q4" s="17"/>
      <c r="R4" s="17" t="str">
        <f aca="false">IF(OR(O4="",P4="",Q4=""),"",O4+P4+Q4)</f>
        <v/>
      </c>
      <c r="S4" s="17" t="n">
        <f aca="false">IF(COUNTA(E4:R4)=0,"",SUM(E4,F4,J4,N4,R4))</f>
        <v>0</v>
      </c>
      <c r="T4" s="17" t="str">
        <f aca="false">IF(S4="","",IF(S4&gt;=45,"A",IF(S4&gt;=35,"B",IF(S4&gt;=25,"C",IF(S4&gt;=15,"D","F")))))</f>
        <v>F</v>
      </c>
      <c r="U4" s="17" t="n">
        <f aca="false">IF(S4="","",RANK(S4,$S$3:$S$22,0))</f>
        <v>1</v>
      </c>
    </row>
    <row r="5" customFormat="false" ht="21.75" hidden="false" customHeight="true" outlineLevel="0" collapsed="false">
      <c r="A5" s="13" t="n">
        <v>3</v>
      </c>
      <c r="B5" s="14"/>
      <c r="C5" s="13"/>
      <c r="D5" s="15"/>
      <c r="E5" s="13"/>
      <c r="F5" s="13"/>
      <c r="G5" s="13"/>
      <c r="H5" s="13"/>
      <c r="I5" s="13"/>
      <c r="J5" s="13" t="str">
        <f aca="false">IF(OR(G5="",H5="",I5=""),"",G5+H5+I5)</f>
        <v/>
      </c>
      <c r="K5" s="13"/>
      <c r="L5" s="13"/>
      <c r="M5" s="13"/>
      <c r="N5" s="13" t="str">
        <f aca="false">IF(OR(K5="",L5="",M5=""),"",K5+L5+M5)</f>
        <v/>
      </c>
      <c r="O5" s="13"/>
      <c r="P5" s="13"/>
      <c r="Q5" s="13"/>
      <c r="R5" s="13" t="str">
        <f aca="false">IF(OR(O5="",P5="",Q5=""),"",O5+P5+Q5)</f>
        <v/>
      </c>
      <c r="S5" s="13" t="n">
        <f aca="false">IF(COUNTA(E5:R5)=0,"",SUM(E5,F5,J5,N5,R5))</f>
        <v>0</v>
      </c>
      <c r="T5" s="13" t="str">
        <f aca="false">IF(S5="","",IF(S5&gt;=45,"A",IF(S5&gt;=35,"B",IF(S5&gt;=25,"C",IF(S5&gt;=15,"D","F")))))</f>
        <v>F</v>
      </c>
      <c r="U5" s="13" t="n">
        <f aca="false">IF(S5="","",RANK(S5,$S$3:$S$22,0))</f>
        <v>1</v>
      </c>
    </row>
    <row r="6" customFormat="false" ht="21.75" hidden="false" customHeight="true" outlineLevel="0" collapsed="false">
      <c r="A6" s="13" t="n">
        <v>4</v>
      </c>
      <c r="B6" s="16"/>
      <c r="C6" s="17"/>
      <c r="D6" s="18"/>
      <c r="E6" s="17"/>
      <c r="F6" s="17"/>
      <c r="G6" s="17"/>
      <c r="H6" s="17"/>
      <c r="I6" s="17"/>
      <c r="J6" s="17" t="str">
        <f aca="false">IF(OR(G6="",H6="",I6=""),"",G6+H6+I6)</f>
        <v/>
      </c>
      <c r="K6" s="17"/>
      <c r="L6" s="17"/>
      <c r="M6" s="17"/>
      <c r="N6" s="17" t="str">
        <f aca="false">IF(OR(K6="",L6="",M6=""),"",K6+L6+M6)</f>
        <v/>
      </c>
      <c r="O6" s="17"/>
      <c r="P6" s="17"/>
      <c r="Q6" s="17"/>
      <c r="R6" s="17" t="str">
        <f aca="false">IF(OR(O6="",P6="",Q6=""),"",O6+P6+Q6)</f>
        <v/>
      </c>
      <c r="S6" s="17" t="n">
        <f aca="false">IF(COUNTA(E6:R6)=0,"",SUM(E6,F6,J6,N6,R6))</f>
        <v>0</v>
      </c>
      <c r="T6" s="17" t="str">
        <f aca="false">IF(S6="","",IF(S6&gt;=45,"A",IF(S6&gt;=35,"B",IF(S6&gt;=25,"C",IF(S6&gt;=15,"D","F")))))</f>
        <v>F</v>
      </c>
      <c r="U6" s="17" t="n">
        <f aca="false">IF(S6="","",RANK(S6,$S$3:$S$22,0))</f>
        <v>1</v>
      </c>
    </row>
    <row r="7" customFormat="false" ht="21.75" hidden="false" customHeight="true" outlineLevel="0" collapsed="false">
      <c r="A7" s="13" t="n">
        <v>5</v>
      </c>
      <c r="B7" s="14"/>
      <c r="C7" s="13"/>
      <c r="D7" s="15"/>
      <c r="E7" s="13"/>
      <c r="F7" s="13"/>
      <c r="G7" s="13"/>
      <c r="H7" s="13"/>
      <c r="I7" s="13"/>
      <c r="J7" s="13" t="str">
        <f aca="false">IF(OR(G7="",H7="",I7=""),"",G7+H7+I7)</f>
        <v/>
      </c>
      <c r="K7" s="13"/>
      <c r="L7" s="13"/>
      <c r="M7" s="13"/>
      <c r="N7" s="13" t="str">
        <f aca="false">IF(OR(K7="",L7="",M7=""),"",K7+L7+M7)</f>
        <v/>
      </c>
      <c r="O7" s="13"/>
      <c r="P7" s="13"/>
      <c r="Q7" s="13"/>
      <c r="R7" s="13" t="str">
        <f aca="false">IF(OR(O7="",P7="",Q7=""),"",O7+P7+Q7)</f>
        <v/>
      </c>
      <c r="S7" s="13" t="n">
        <f aca="false">IF(COUNTA(E7:R7)=0,"",SUM(E7,F7,J7,N7,R7))</f>
        <v>0</v>
      </c>
      <c r="T7" s="13" t="str">
        <f aca="false">IF(S7="","",IF(S7&gt;=45,"A",IF(S7&gt;=35,"B",IF(S7&gt;=25,"C",IF(S7&gt;=15,"D","F")))))</f>
        <v>F</v>
      </c>
      <c r="U7" s="13" t="n">
        <f aca="false">IF(S7="","",RANK(S7,$S$3:$S$22,0))</f>
        <v>1</v>
      </c>
    </row>
    <row r="8" customFormat="false" ht="21.75" hidden="false" customHeight="true" outlineLevel="0" collapsed="false">
      <c r="A8" s="13" t="n">
        <v>6</v>
      </c>
      <c r="B8" s="16"/>
      <c r="C8" s="17"/>
      <c r="D8" s="18"/>
      <c r="E8" s="17"/>
      <c r="F8" s="17"/>
      <c r="G8" s="17"/>
      <c r="H8" s="17"/>
      <c r="I8" s="17"/>
      <c r="J8" s="17" t="str">
        <f aca="false">IF(OR(G8="",H8="",I8=""),"",G8+H8+I8)</f>
        <v/>
      </c>
      <c r="K8" s="17"/>
      <c r="L8" s="17"/>
      <c r="M8" s="17"/>
      <c r="N8" s="17" t="str">
        <f aca="false">IF(OR(K8="",L8="",M8=""),"",K8+L8+M8)</f>
        <v/>
      </c>
      <c r="O8" s="17"/>
      <c r="P8" s="17"/>
      <c r="Q8" s="17"/>
      <c r="R8" s="17" t="str">
        <f aca="false">IF(OR(O8="",P8="",Q8=""),"",O8+P8+Q8)</f>
        <v/>
      </c>
      <c r="S8" s="17" t="n">
        <f aca="false">IF(COUNTA(E8:R8)=0,"",SUM(E8,F8,J8,N8,R8))</f>
        <v>0</v>
      </c>
      <c r="T8" s="17" t="str">
        <f aca="false">IF(S8="","",IF(S8&gt;=45,"A",IF(S8&gt;=35,"B",IF(S8&gt;=25,"C",IF(S8&gt;=15,"D","F")))))</f>
        <v>F</v>
      </c>
      <c r="U8" s="17" t="n">
        <f aca="false">IF(S8="","",RANK(S8,$S$3:$S$22,0))</f>
        <v>1</v>
      </c>
    </row>
    <row r="9" customFormat="false" ht="21.75" hidden="false" customHeight="true" outlineLevel="0" collapsed="false">
      <c r="A9" s="13" t="n">
        <v>7</v>
      </c>
      <c r="B9" s="14"/>
      <c r="C9" s="13"/>
      <c r="D9" s="15"/>
      <c r="E9" s="13"/>
      <c r="F9" s="13"/>
      <c r="G9" s="13"/>
      <c r="H9" s="13"/>
      <c r="I9" s="13"/>
      <c r="J9" s="13" t="str">
        <f aca="false">IF(OR(G9="",H9="",I9=""),"",G9+H9+I9)</f>
        <v/>
      </c>
      <c r="K9" s="13"/>
      <c r="L9" s="13"/>
      <c r="M9" s="13"/>
      <c r="N9" s="13" t="str">
        <f aca="false">IF(OR(K9="",L9="",M9=""),"",K9+L9+M9)</f>
        <v/>
      </c>
      <c r="O9" s="13"/>
      <c r="P9" s="13"/>
      <c r="Q9" s="13"/>
      <c r="R9" s="13" t="str">
        <f aca="false">IF(OR(O9="",P9="",Q9=""),"",O9+P9+Q9)</f>
        <v/>
      </c>
      <c r="S9" s="13" t="n">
        <f aca="false">IF(COUNTA(E9:R9)=0,"",SUM(E9,F9,J9,N9,R9))</f>
        <v>0</v>
      </c>
      <c r="T9" s="13" t="str">
        <f aca="false">IF(S9="","",IF(S9&gt;=45,"A",IF(S9&gt;=35,"B",IF(S9&gt;=25,"C",IF(S9&gt;=15,"D","F")))))</f>
        <v>F</v>
      </c>
      <c r="U9" s="13" t="n">
        <f aca="false">IF(S9="","",RANK(S9,$S$3:$S$22,0))</f>
        <v>1</v>
      </c>
    </row>
    <row r="10" customFormat="false" ht="21.75" hidden="false" customHeight="true" outlineLevel="0" collapsed="false">
      <c r="A10" s="13" t="n">
        <v>8</v>
      </c>
      <c r="B10" s="16"/>
      <c r="C10" s="17"/>
      <c r="D10" s="18"/>
      <c r="E10" s="17"/>
      <c r="F10" s="17"/>
      <c r="G10" s="17"/>
      <c r="H10" s="17"/>
      <c r="I10" s="17"/>
      <c r="J10" s="17" t="str">
        <f aca="false">IF(OR(G10="",H10="",I10=""),"",G10+H10+I10)</f>
        <v/>
      </c>
      <c r="K10" s="17"/>
      <c r="L10" s="17"/>
      <c r="M10" s="17"/>
      <c r="N10" s="17" t="str">
        <f aca="false">IF(OR(K10="",L10="",M10=""),"",K10+L10+M10)</f>
        <v/>
      </c>
      <c r="O10" s="17"/>
      <c r="P10" s="17"/>
      <c r="Q10" s="17"/>
      <c r="R10" s="17" t="str">
        <f aca="false">IF(OR(O10="",P10="",Q10=""),"",O10+P10+Q10)</f>
        <v/>
      </c>
      <c r="S10" s="17" t="n">
        <f aca="false">IF(COUNTA(E10:R10)=0,"",SUM(E10,F10,J10,N10,R10))</f>
        <v>0</v>
      </c>
      <c r="T10" s="17" t="str">
        <f aca="false">IF(S10="","",IF(S10&gt;=45,"A",IF(S10&gt;=35,"B",IF(S10&gt;=25,"C",IF(S10&gt;=15,"D","F")))))</f>
        <v>F</v>
      </c>
      <c r="U10" s="17" t="n">
        <f aca="false">IF(S10="","",RANK(S10,$S$3:$S$22,0))</f>
        <v>1</v>
      </c>
    </row>
    <row r="11" customFormat="false" ht="21.75" hidden="false" customHeight="true" outlineLevel="0" collapsed="false">
      <c r="A11" s="13" t="n">
        <v>9</v>
      </c>
      <c r="B11" s="14"/>
      <c r="C11" s="13"/>
      <c r="D11" s="15"/>
      <c r="E11" s="13"/>
      <c r="F11" s="13"/>
      <c r="G11" s="13"/>
      <c r="H11" s="13"/>
      <c r="I11" s="13"/>
      <c r="J11" s="13" t="str">
        <f aca="false">IF(OR(G11="",H11="",I11=""),"",G11+H11+I11)</f>
        <v/>
      </c>
      <c r="K11" s="13"/>
      <c r="L11" s="13"/>
      <c r="M11" s="13"/>
      <c r="N11" s="13" t="str">
        <f aca="false">IF(OR(K11="",L11="",M11=""),"",K11+L11+M11)</f>
        <v/>
      </c>
      <c r="O11" s="13"/>
      <c r="P11" s="13"/>
      <c r="Q11" s="13"/>
      <c r="R11" s="13" t="str">
        <f aca="false">IF(OR(O11="",P11="",Q11=""),"",O11+P11+Q11)</f>
        <v/>
      </c>
      <c r="S11" s="13" t="n">
        <f aca="false">IF(COUNTA(E11:R11)=0,"",SUM(E11,F11,J11,N11,R11))</f>
        <v>0</v>
      </c>
      <c r="T11" s="13" t="str">
        <f aca="false">IF(S11="","",IF(S11&gt;=45,"A",IF(S11&gt;=35,"B",IF(S11&gt;=25,"C",IF(S11&gt;=15,"D","F")))))</f>
        <v>F</v>
      </c>
      <c r="U11" s="13" t="n">
        <f aca="false">IF(S11="","",RANK(S11,$S$3:$S$22,0))</f>
        <v>1</v>
      </c>
    </row>
    <row r="12" customFormat="false" ht="21.75" hidden="false" customHeight="true" outlineLevel="0" collapsed="false">
      <c r="A12" s="13" t="n">
        <v>10</v>
      </c>
      <c r="B12" s="16"/>
      <c r="C12" s="17"/>
      <c r="D12" s="18"/>
      <c r="E12" s="17"/>
      <c r="F12" s="17"/>
      <c r="G12" s="17"/>
      <c r="H12" s="17"/>
      <c r="I12" s="17"/>
      <c r="J12" s="17" t="str">
        <f aca="false">IF(OR(G12="",H12="",I12=""),"",G12+H12+I12)</f>
        <v/>
      </c>
      <c r="K12" s="17"/>
      <c r="L12" s="17"/>
      <c r="M12" s="17"/>
      <c r="N12" s="17" t="str">
        <f aca="false">IF(OR(K12="",L12="",M12=""),"",K12+L12+M12)</f>
        <v/>
      </c>
      <c r="O12" s="17"/>
      <c r="P12" s="17"/>
      <c r="Q12" s="17"/>
      <c r="R12" s="17" t="str">
        <f aca="false">IF(OR(O12="",P12="",Q12=""),"",O12+P12+Q12)</f>
        <v/>
      </c>
      <c r="S12" s="17" t="n">
        <f aca="false">IF(COUNTA(E12:R12)=0,"",SUM(E12,F12,J12,N12,R12))</f>
        <v>0</v>
      </c>
      <c r="T12" s="17" t="str">
        <f aca="false">IF(S12="","",IF(S12&gt;=45,"A",IF(S12&gt;=35,"B",IF(S12&gt;=25,"C",IF(S12&gt;=15,"D","F")))))</f>
        <v>F</v>
      </c>
      <c r="U12" s="17" t="n">
        <f aca="false">IF(S12="","",RANK(S12,$S$3:$S$22,0))</f>
        <v>1</v>
      </c>
    </row>
    <row r="13" customFormat="false" ht="21.75" hidden="false" customHeight="true" outlineLevel="0" collapsed="false">
      <c r="A13" s="13" t="n">
        <v>11</v>
      </c>
      <c r="B13" s="14"/>
      <c r="C13" s="13"/>
      <c r="D13" s="15"/>
      <c r="E13" s="13"/>
      <c r="F13" s="13"/>
      <c r="G13" s="13"/>
      <c r="H13" s="13"/>
      <c r="I13" s="13"/>
      <c r="J13" s="13" t="str">
        <f aca="false">IF(OR(G13="",H13="",I13=""),"",G13+H13+I13)</f>
        <v/>
      </c>
      <c r="K13" s="13"/>
      <c r="L13" s="13"/>
      <c r="M13" s="13"/>
      <c r="N13" s="13" t="str">
        <f aca="false">IF(OR(K13="",L13="",M13=""),"",K13+L13+M13)</f>
        <v/>
      </c>
      <c r="O13" s="13"/>
      <c r="P13" s="13"/>
      <c r="Q13" s="13"/>
      <c r="R13" s="13" t="str">
        <f aca="false">IF(OR(O13="",P13="",Q13=""),"",O13+P13+Q13)</f>
        <v/>
      </c>
      <c r="S13" s="13" t="n">
        <f aca="false">IF(COUNTA(E13:R13)=0,"",SUM(E13,F13,J13,N13,R13))</f>
        <v>0</v>
      </c>
      <c r="T13" s="13" t="str">
        <f aca="false">IF(S13="","",IF(S13&gt;=45,"A",IF(S13&gt;=35,"B",IF(S13&gt;=25,"C",IF(S13&gt;=15,"D","F")))))</f>
        <v>F</v>
      </c>
      <c r="U13" s="13" t="n">
        <f aca="false">IF(S13="","",RANK(S13,$S$3:$S$22,0))</f>
        <v>1</v>
      </c>
    </row>
    <row r="14" customFormat="false" ht="21.75" hidden="false" customHeight="true" outlineLevel="0" collapsed="false">
      <c r="A14" s="13" t="n">
        <v>12</v>
      </c>
      <c r="B14" s="16"/>
      <c r="C14" s="17"/>
      <c r="D14" s="18"/>
      <c r="E14" s="17"/>
      <c r="F14" s="17"/>
      <c r="G14" s="17"/>
      <c r="H14" s="17"/>
      <c r="I14" s="17"/>
      <c r="J14" s="17" t="str">
        <f aca="false">IF(OR(G14="",H14="",I14=""),"",G14+H14+I14)</f>
        <v/>
      </c>
      <c r="K14" s="17"/>
      <c r="L14" s="17"/>
      <c r="M14" s="17"/>
      <c r="N14" s="17" t="str">
        <f aca="false">IF(OR(K14="",L14="",M14=""),"",K14+L14+M14)</f>
        <v/>
      </c>
      <c r="O14" s="17"/>
      <c r="P14" s="17"/>
      <c r="Q14" s="17"/>
      <c r="R14" s="17" t="str">
        <f aca="false">IF(OR(O14="",P14="",Q14=""),"",O14+P14+Q14)</f>
        <v/>
      </c>
      <c r="S14" s="17" t="n">
        <f aca="false">IF(COUNTA(E14:R14)=0,"",SUM(E14,F14,J14,N14,R14))</f>
        <v>0</v>
      </c>
      <c r="T14" s="17" t="str">
        <f aca="false">IF(S14="","",IF(S14&gt;=45,"A",IF(S14&gt;=35,"B",IF(S14&gt;=25,"C",IF(S14&gt;=15,"D","F")))))</f>
        <v>F</v>
      </c>
      <c r="U14" s="17" t="n">
        <f aca="false">IF(S14="","",RANK(S14,$S$3:$S$22,0))</f>
        <v>1</v>
      </c>
    </row>
    <row r="15" customFormat="false" ht="21.75" hidden="false" customHeight="true" outlineLevel="0" collapsed="false">
      <c r="A15" s="13" t="n">
        <v>13</v>
      </c>
      <c r="B15" s="14"/>
      <c r="C15" s="13"/>
      <c r="D15" s="15"/>
      <c r="E15" s="13"/>
      <c r="F15" s="13"/>
      <c r="G15" s="13"/>
      <c r="H15" s="13"/>
      <c r="I15" s="13"/>
      <c r="J15" s="13" t="str">
        <f aca="false">IF(OR(G15="",H15="",I15=""),"",G15+H15+I15)</f>
        <v/>
      </c>
      <c r="K15" s="13"/>
      <c r="L15" s="13"/>
      <c r="M15" s="13"/>
      <c r="N15" s="13" t="str">
        <f aca="false">IF(OR(K15="",L15="",M15=""),"",K15+L15+M15)</f>
        <v/>
      </c>
      <c r="O15" s="13"/>
      <c r="P15" s="13"/>
      <c r="Q15" s="13"/>
      <c r="R15" s="13" t="str">
        <f aca="false">IF(OR(O15="",P15="",Q15=""),"",O15+P15+Q15)</f>
        <v/>
      </c>
      <c r="S15" s="13" t="n">
        <f aca="false">IF(COUNTA(E15:R15)=0,"",SUM(E15,F15,J15,N15,R15))</f>
        <v>0</v>
      </c>
      <c r="T15" s="13" t="str">
        <f aca="false">IF(S15="","",IF(S15&gt;=45,"A",IF(S15&gt;=35,"B",IF(S15&gt;=25,"C",IF(S15&gt;=15,"D","F")))))</f>
        <v>F</v>
      </c>
      <c r="U15" s="13" t="n">
        <f aca="false">IF(S15="","",RANK(S15,$S$3:$S$22,0))</f>
        <v>1</v>
      </c>
    </row>
    <row r="16" customFormat="false" ht="21.75" hidden="false" customHeight="true" outlineLevel="0" collapsed="false">
      <c r="A16" s="13" t="n">
        <v>14</v>
      </c>
      <c r="B16" s="16"/>
      <c r="C16" s="17"/>
      <c r="D16" s="18"/>
      <c r="E16" s="17"/>
      <c r="F16" s="17"/>
      <c r="G16" s="17"/>
      <c r="H16" s="17"/>
      <c r="I16" s="17"/>
      <c r="J16" s="17" t="str">
        <f aca="false">IF(OR(G16="",H16="",I16=""),"",G16+H16+I16)</f>
        <v/>
      </c>
      <c r="K16" s="17"/>
      <c r="L16" s="17"/>
      <c r="M16" s="17"/>
      <c r="N16" s="17" t="str">
        <f aca="false">IF(OR(K16="",L16="",M16=""),"",K16+L16+M16)</f>
        <v/>
      </c>
      <c r="O16" s="17"/>
      <c r="P16" s="17"/>
      <c r="Q16" s="17"/>
      <c r="R16" s="17" t="str">
        <f aca="false">IF(OR(O16="",P16="",Q16=""),"",O16+P16+Q16)</f>
        <v/>
      </c>
      <c r="S16" s="17" t="n">
        <f aca="false">IF(COUNTA(E16:R16)=0,"",SUM(E16,F16,J16,N16,R16))</f>
        <v>0</v>
      </c>
      <c r="T16" s="17" t="str">
        <f aca="false">IF(S16="","",IF(S16&gt;=45,"A",IF(S16&gt;=35,"B",IF(S16&gt;=25,"C",IF(S16&gt;=15,"D","F")))))</f>
        <v>F</v>
      </c>
      <c r="U16" s="17" t="n">
        <f aca="false">IF(S16="","",RANK(S16,$S$3:$S$22,0))</f>
        <v>1</v>
      </c>
    </row>
    <row r="17" customFormat="false" ht="21.75" hidden="false" customHeight="true" outlineLevel="0" collapsed="false">
      <c r="A17" s="13" t="n">
        <v>15</v>
      </c>
      <c r="B17" s="14"/>
      <c r="C17" s="13"/>
      <c r="D17" s="15"/>
      <c r="E17" s="13"/>
      <c r="F17" s="13"/>
      <c r="G17" s="13"/>
      <c r="H17" s="13"/>
      <c r="I17" s="13"/>
      <c r="J17" s="13" t="str">
        <f aca="false">IF(OR(G17="",H17="",I17=""),"",G17+H17+I17)</f>
        <v/>
      </c>
      <c r="K17" s="13"/>
      <c r="L17" s="13"/>
      <c r="M17" s="13"/>
      <c r="N17" s="13" t="str">
        <f aca="false">IF(OR(K17="",L17="",M17=""),"",K17+L17+M17)</f>
        <v/>
      </c>
      <c r="O17" s="13"/>
      <c r="P17" s="13"/>
      <c r="Q17" s="13"/>
      <c r="R17" s="13" t="str">
        <f aca="false">IF(OR(O17="",P17="",Q17=""),"",O17+P17+Q17)</f>
        <v/>
      </c>
      <c r="S17" s="13" t="n">
        <f aca="false">IF(COUNTA(E17:R17)=0,"",SUM(E17,F17,J17,N17,R17))</f>
        <v>0</v>
      </c>
      <c r="T17" s="13" t="str">
        <f aca="false">IF(S17="","",IF(S17&gt;=45,"A",IF(S17&gt;=35,"B",IF(S17&gt;=25,"C",IF(S17&gt;=15,"D","F")))))</f>
        <v>F</v>
      </c>
      <c r="U17" s="13" t="n">
        <f aca="false">IF(S17="","",RANK(S17,$S$3:$S$22,0))</f>
        <v>1</v>
      </c>
    </row>
    <row r="18" customFormat="false" ht="21.75" hidden="false" customHeight="true" outlineLevel="0" collapsed="false">
      <c r="A18" s="13" t="n">
        <v>16</v>
      </c>
      <c r="B18" s="16"/>
      <c r="C18" s="17"/>
      <c r="D18" s="18"/>
      <c r="E18" s="17"/>
      <c r="F18" s="17"/>
      <c r="G18" s="17"/>
      <c r="H18" s="17"/>
      <c r="I18" s="17"/>
      <c r="J18" s="17" t="str">
        <f aca="false">IF(OR(G18="",H18="",I18=""),"",G18+H18+I18)</f>
        <v/>
      </c>
      <c r="K18" s="17"/>
      <c r="L18" s="17"/>
      <c r="M18" s="17"/>
      <c r="N18" s="17" t="str">
        <f aca="false">IF(OR(K18="",L18="",M18=""),"",K18+L18+M18)</f>
        <v/>
      </c>
      <c r="O18" s="17"/>
      <c r="P18" s="17"/>
      <c r="Q18" s="17"/>
      <c r="R18" s="17" t="str">
        <f aca="false">IF(OR(O18="",P18="",Q18=""),"",O18+P18+Q18)</f>
        <v/>
      </c>
      <c r="S18" s="17" t="n">
        <f aca="false">IF(COUNTA(E18:R18)=0,"",SUM(E18,F18,J18,N18,R18))</f>
        <v>0</v>
      </c>
      <c r="T18" s="17" t="str">
        <f aca="false">IF(S18="","",IF(S18&gt;=45,"A",IF(S18&gt;=35,"B",IF(S18&gt;=25,"C",IF(S18&gt;=15,"D","F")))))</f>
        <v>F</v>
      </c>
      <c r="U18" s="17" t="n">
        <f aca="false">IF(S18="","",RANK(S18,$S$3:$S$22,0))</f>
        <v>1</v>
      </c>
    </row>
    <row r="19" customFormat="false" ht="21.75" hidden="false" customHeight="true" outlineLevel="0" collapsed="false">
      <c r="A19" s="13" t="n">
        <v>17</v>
      </c>
      <c r="B19" s="14"/>
      <c r="C19" s="13"/>
      <c r="D19" s="15"/>
      <c r="E19" s="13"/>
      <c r="F19" s="13"/>
      <c r="G19" s="13"/>
      <c r="H19" s="13"/>
      <c r="I19" s="13"/>
      <c r="J19" s="13" t="str">
        <f aca="false">IF(OR(G19="",H19="",I19=""),"",G19+H19+I19)</f>
        <v/>
      </c>
      <c r="K19" s="13"/>
      <c r="L19" s="13"/>
      <c r="M19" s="13"/>
      <c r="N19" s="13" t="str">
        <f aca="false">IF(OR(K19="",L19="",M19=""),"",K19+L19+M19)</f>
        <v/>
      </c>
      <c r="O19" s="13"/>
      <c r="P19" s="13"/>
      <c r="Q19" s="13"/>
      <c r="R19" s="13" t="str">
        <f aca="false">IF(OR(O19="",P19="",Q19=""),"",O19+P19+Q19)</f>
        <v/>
      </c>
      <c r="S19" s="13" t="n">
        <f aca="false">IF(COUNTA(E19:R19)=0,"",SUM(E19,F19,J19,N19,R19))</f>
        <v>0</v>
      </c>
      <c r="T19" s="13" t="str">
        <f aca="false">IF(S19="","",IF(S19&gt;=45,"A",IF(S19&gt;=35,"B",IF(S19&gt;=25,"C",IF(S19&gt;=15,"D","F")))))</f>
        <v>F</v>
      </c>
      <c r="U19" s="13" t="n">
        <f aca="false">IF(S19="","",RANK(S19,$S$3:$S$22,0))</f>
        <v>1</v>
      </c>
    </row>
    <row r="20" customFormat="false" ht="21.75" hidden="false" customHeight="true" outlineLevel="0" collapsed="false">
      <c r="A20" s="13" t="n">
        <v>18</v>
      </c>
      <c r="B20" s="16"/>
      <c r="C20" s="17"/>
      <c r="D20" s="18"/>
      <c r="E20" s="17"/>
      <c r="F20" s="17"/>
      <c r="G20" s="17"/>
      <c r="H20" s="17"/>
      <c r="I20" s="17"/>
      <c r="J20" s="17" t="str">
        <f aca="false">IF(OR(G20="",H20="",I20=""),"",G20+H20+I20)</f>
        <v/>
      </c>
      <c r="K20" s="17"/>
      <c r="L20" s="17"/>
      <c r="M20" s="17"/>
      <c r="N20" s="17" t="str">
        <f aca="false">IF(OR(K20="",L20="",M20=""),"",K20+L20+M20)</f>
        <v/>
      </c>
      <c r="O20" s="17"/>
      <c r="P20" s="17"/>
      <c r="Q20" s="17"/>
      <c r="R20" s="17" t="str">
        <f aca="false">IF(OR(O20="",P20="",Q20=""),"",O20+P20+Q20)</f>
        <v/>
      </c>
      <c r="S20" s="17" t="n">
        <f aca="false">IF(COUNTA(E20:R20)=0,"",SUM(E20,F20,J20,N20,R20))</f>
        <v>0</v>
      </c>
      <c r="T20" s="17" t="str">
        <f aca="false">IF(S20="","",IF(S20&gt;=45,"A",IF(S20&gt;=35,"B",IF(S20&gt;=25,"C",IF(S20&gt;=15,"D","F")))))</f>
        <v>F</v>
      </c>
      <c r="U20" s="17" t="n">
        <f aca="false">IF(S20="","",RANK(S20,$S$3:$S$22,0))</f>
        <v>1</v>
      </c>
    </row>
    <row r="21" customFormat="false" ht="21.75" hidden="false" customHeight="true" outlineLevel="0" collapsed="false">
      <c r="A21" s="13" t="n">
        <v>19</v>
      </c>
      <c r="B21" s="14"/>
      <c r="C21" s="13"/>
      <c r="D21" s="15"/>
      <c r="E21" s="13"/>
      <c r="F21" s="13"/>
      <c r="G21" s="13"/>
      <c r="H21" s="13"/>
      <c r="I21" s="13"/>
      <c r="J21" s="13" t="str">
        <f aca="false">IF(OR(G21="",H21="",I21=""),"",G21+H21+I21)</f>
        <v/>
      </c>
      <c r="K21" s="13"/>
      <c r="L21" s="13"/>
      <c r="M21" s="13"/>
      <c r="N21" s="13" t="str">
        <f aca="false">IF(OR(K21="",L21="",M21=""),"",K21+L21+M21)</f>
        <v/>
      </c>
      <c r="O21" s="13"/>
      <c r="P21" s="13"/>
      <c r="Q21" s="13"/>
      <c r="R21" s="13" t="str">
        <f aca="false">IF(OR(O21="",P21="",Q21=""),"",O21+P21+Q21)</f>
        <v/>
      </c>
      <c r="S21" s="13" t="n">
        <f aca="false">IF(COUNTA(E21:R21)=0,"",SUM(E21,F21,J21,N21,R21))</f>
        <v>0</v>
      </c>
      <c r="T21" s="13" t="str">
        <f aca="false">IF(S21="","",IF(S21&gt;=45,"A",IF(S21&gt;=35,"B",IF(S21&gt;=25,"C",IF(S21&gt;=15,"D","F")))))</f>
        <v>F</v>
      </c>
      <c r="U21" s="13" t="n">
        <f aca="false">IF(S21="","",RANK(S21,$S$3:$S$22,0))</f>
        <v>1</v>
      </c>
    </row>
    <row r="22" customFormat="false" ht="21.75" hidden="false" customHeight="true" outlineLevel="0" collapsed="false">
      <c r="A22" s="13" t="n">
        <v>20</v>
      </c>
      <c r="B22" s="16"/>
      <c r="C22" s="17"/>
      <c r="D22" s="18"/>
      <c r="E22" s="17"/>
      <c r="F22" s="17"/>
      <c r="G22" s="17"/>
      <c r="H22" s="17"/>
      <c r="I22" s="17"/>
      <c r="J22" s="17" t="str">
        <f aca="false">IF(OR(G22="",H22="",I22=""),"",G22+H22+I22)</f>
        <v/>
      </c>
      <c r="K22" s="17"/>
      <c r="L22" s="17"/>
      <c r="M22" s="17"/>
      <c r="N22" s="17" t="str">
        <f aca="false">IF(OR(K22="",L22="",M22=""),"",K22+L22+M22)</f>
        <v/>
      </c>
      <c r="O22" s="17"/>
      <c r="P22" s="17"/>
      <c r="Q22" s="17"/>
      <c r="R22" s="17" t="str">
        <f aca="false">IF(OR(O22="",P22="",Q22=""),"",O22+P22+Q22)</f>
        <v/>
      </c>
      <c r="S22" s="17" t="n">
        <f aca="false">IF(COUNTA(E22:R22)=0,"",SUM(E22,F22,J22,N22,R22))</f>
        <v>0</v>
      </c>
      <c r="T22" s="17" t="str">
        <f aca="false">IF(S22="","",IF(S22&gt;=45,"A",IF(S22&gt;=35,"B",IF(S22&gt;=25,"C",IF(S22&gt;=15,"D","F")))))</f>
        <v>F</v>
      </c>
      <c r="U22" s="17" t="n">
        <f aca="false">IF(S22="","",RANK(S22,$S$3:$S$22,0))</f>
        <v>1</v>
      </c>
    </row>
  </sheetData>
  <mergeCells count="7">
    <mergeCell ref="A1:A2"/>
    <mergeCell ref="B1:B2"/>
    <mergeCell ref="C1:C2"/>
    <mergeCell ref="D1:D2"/>
    <mergeCell ref="G1:J1"/>
    <mergeCell ref="K1:N1"/>
    <mergeCell ref="O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9" min="4" style="0" width="10"/>
    <col collapsed="false" customWidth="true" hidden="false" outlineLevel="0" max="10" min="10" style="0" width="8"/>
    <col collapsed="false" customWidth="true" hidden="false" outlineLevel="0" max="13" min="11" style="0" width="10"/>
    <col collapsed="false" customWidth="true" hidden="false" outlineLevel="0" max="14" min="14" style="0" width="8"/>
    <col collapsed="false" customWidth="true" hidden="false" outlineLevel="0" max="17" min="15" style="0" width="10"/>
    <col collapsed="false" customWidth="true" hidden="false" outlineLevel="0" max="19" min="18" style="0" width="8"/>
    <col collapsed="false" customWidth="true" hidden="false" outlineLevel="0" max="21" min="20" style="0" width="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 t="s">
        <v>7</v>
      </c>
      <c r="L1" s="2"/>
      <c r="M1" s="2"/>
      <c r="N1" s="2"/>
      <c r="O1" s="2" t="s">
        <v>8</v>
      </c>
      <c r="P1" s="2"/>
      <c r="Q1" s="2"/>
      <c r="R1" s="2"/>
      <c r="S1" s="1" t="s">
        <v>9</v>
      </c>
      <c r="T1" s="1" t="s">
        <v>10</v>
      </c>
      <c r="U1" s="1" t="s">
        <v>11</v>
      </c>
    </row>
    <row r="2" customFormat="false" ht="39.75" hidden="false" customHeight="true" outlineLevel="0" collapsed="false">
      <c r="A2" s="1"/>
      <c r="B2" s="1"/>
      <c r="C2" s="1"/>
      <c r="D2" s="1"/>
      <c r="E2" s="3" t="s">
        <v>12</v>
      </c>
      <c r="F2" s="4" t="s">
        <v>12</v>
      </c>
      <c r="G2" s="5" t="s">
        <v>13</v>
      </c>
      <c r="H2" s="5" t="s">
        <v>14</v>
      </c>
      <c r="I2" s="5" t="s">
        <v>15</v>
      </c>
      <c r="J2" s="6" t="s">
        <v>16</v>
      </c>
      <c r="K2" s="7" t="s">
        <v>17</v>
      </c>
      <c r="L2" s="7" t="s">
        <v>18</v>
      </c>
      <c r="M2" s="7" t="s">
        <v>15</v>
      </c>
      <c r="N2" s="8" t="s">
        <v>16</v>
      </c>
      <c r="O2" s="9" t="s">
        <v>19</v>
      </c>
      <c r="P2" s="9" t="s">
        <v>20</v>
      </c>
      <c r="Q2" s="9" t="s">
        <v>15</v>
      </c>
      <c r="R2" s="10" t="s">
        <v>16</v>
      </c>
      <c r="S2" s="11" t="s">
        <v>21</v>
      </c>
      <c r="T2" s="11"/>
      <c r="U2" s="12"/>
    </row>
    <row r="3" customFormat="false" ht="21.75" hidden="false" customHeight="true" outlineLevel="0" collapsed="false">
      <c r="A3" s="13" t="n">
        <v>1</v>
      </c>
      <c r="B3" s="14"/>
      <c r="C3" s="13"/>
      <c r="D3" s="15"/>
      <c r="E3" s="13"/>
      <c r="F3" s="13"/>
      <c r="G3" s="13"/>
      <c r="H3" s="13"/>
      <c r="I3" s="13"/>
      <c r="J3" s="13" t="str">
        <f aca="false">IF(OR(G3="",H3="",I3=""),"",G3+H3+I3)</f>
        <v/>
      </c>
      <c r="K3" s="13"/>
      <c r="L3" s="13"/>
      <c r="M3" s="13"/>
      <c r="N3" s="13" t="str">
        <f aca="false">IF(OR(K3="",L3="",M3=""),"",K3+L3+M3)</f>
        <v/>
      </c>
      <c r="O3" s="13"/>
      <c r="P3" s="13"/>
      <c r="Q3" s="13"/>
      <c r="R3" s="13" t="str">
        <f aca="false">IF(OR(O3="",P3="",Q3=""),"",O3+P3+Q3)</f>
        <v/>
      </c>
      <c r="S3" s="13" t="n">
        <f aca="false">IF(COUNTA(E3:R3)=0,"",SUM(E3,F3,J3,N3,R3))</f>
        <v>0</v>
      </c>
      <c r="T3" s="13" t="str">
        <f aca="false">IF(S3="","",IF(S3&gt;=45,"A",IF(S3&gt;=35,"B",IF(S3&gt;=25,"C",IF(S3&gt;=15,"D","F")))))</f>
        <v>F</v>
      </c>
      <c r="U3" s="13" t="n">
        <f aca="false">IF(S3="","",RANK(S3,$S$3:$S$22,0))</f>
        <v>1</v>
      </c>
    </row>
    <row r="4" customFormat="false" ht="21.75" hidden="false" customHeight="true" outlineLevel="0" collapsed="false">
      <c r="A4" s="13" t="n">
        <v>2</v>
      </c>
      <c r="B4" s="16"/>
      <c r="C4" s="17"/>
      <c r="D4" s="18"/>
      <c r="E4" s="17"/>
      <c r="F4" s="17"/>
      <c r="G4" s="17"/>
      <c r="H4" s="17"/>
      <c r="I4" s="17"/>
      <c r="J4" s="17" t="str">
        <f aca="false">IF(OR(G4="",H4="",I4=""),"",G4+H4+I4)</f>
        <v/>
      </c>
      <c r="K4" s="17"/>
      <c r="L4" s="17"/>
      <c r="M4" s="17"/>
      <c r="N4" s="17" t="str">
        <f aca="false">IF(OR(K4="",L4="",M4=""),"",K4+L4+M4)</f>
        <v/>
      </c>
      <c r="O4" s="17"/>
      <c r="P4" s="17"/>
      <c r="Q4" s="17"/>
      <c r="R4" s="17" t="str">
        <f aca="false">IF(OR(O4="",P4="",Q4=""),"",O4+P4+Q4)</f>
        <v/>
      </c>
      <c r="S4" s="17" t="n">
        <f aca="false">IF(COUNTA(E4:R4)=0,"",SUM(E4,F4,J4,N4,R4))</f>
        <v>0</v>
      </c>
      <c r="T4" s="17" t="str">
        <f aca="false">IF(S4="","",IF(S4&gt;=45,"A",IF(S4&gt;=35,"B",IF(S4&gt;=25,"C",IF(S4&gt;=15,"D","F")))))</f>
        <v>F</v>
      </c>
      <c r="U4" s="17" t="n">
        <f aca="false">IF(S4="","",RANK(S4,$S$3:$S$22,0))</f>
        <v>1</v>
      </c>
    </row>
    <row r="5" customFormat="false" ht="21.75" hidden="false" customHeight="true" outlineLevel="0" collapsed="false">
      <c r="A5" s="13" t="n">
        <v>3</v>
      </c>
      <c r="B5" s="14"/>
      <c r="C5" s="13"/>
      <c r="D5" s="15"/>
      <c r="E5" s="13"/>
      <c r="F5" s="13"/>
      <c r="G5" s="13"/>
      <c r="H5" s="13"/>
      <c r="I5" s="13"/>
      <c r="J5" s="13" t="str">
        <f aca="false">IF(OR(G5="",H5="",I5=""),"",G5+H5+I5)</f>
        <v/>
      </c>
      <c r="K5" s="13"/>
      <c r="L5" s="13"/>
      <c r="M5" s="13"/>
      <c r="N5" s="13" t="str">
        <f aca="false">IF(OR(K5="",L5="",M5=""),"",K5+L5+M5)</f>
        <v/>
      </c>
      <c r="O5" s="13"/>
      <c r="P5" s="13"/>
      <c r="Q5" s="13"/>
      <c r="R5" s="13" t="str">
        <f aca="false">IF(OR(O5="",P5="",Q5=""),"",O5+P5+Q5)</f>
        <v/>
      </c>
      <c r="S5" s="13" t="n">
        <f aca="false">IF(COUNTA(E5:R5)=0,"",SUM(E5,F5,J5,N5,R5))</f>
        <v>0</v>
      </c>
      <c r="T5" s="13" t="str">
        <f aca="false">IF(S5="","",IF(S5&gt;=45,"A",IF(S5&gt;=35,"B",IF(S5&gt;=25,"C",IF(S5&gt;=15,"D","F")))))</f>
        <v>F</v>
      </c>
      <c r="U5" s="13" t="n">
        <f aca="false">IF(S5="","",RANK(S5,$S$3:$S$22,0))</f>
        <v>1</v>
      </c>
    </row>
    <row r="6" customFormat="false" ht="21.75" hidden="false" customHeight="true" outlineLevel="0" collapsed="false">
      <c r="A6" s="13" t="n">
        <v>4</v>
      </c>
      <c r="B6" s="16"/>
      <c r="C6" s="17"/>
      <c r="D6" s="18"/>
      <c r="E6" s="17"/>
      <c r="F6" s="17"/>
      <c r="G6" s="17"/>
      <c r="H6" s="17"/>
      <c r="I6" s="17"/>
      <c r="J6" s="17" t="str">
        <f aca="false">IF(OR(G6="",H6="",I6=""),"",G6+H6+I6)</f>
        <v/>
      </c>
      <c r="K6" s="17"/>
      <c r="L6" s="17"/>
      <c r="M6" s="17"/>
      <c r="N6" s="17" t="str">
        <f aca="false">IF(OR(K6="",L6="",M6=""),"",K6+L6+M6)</f>
        <v/>
      </c>
      <c r="O6" s="17"/>
      <c r="P6" s="17"/>
      <c r="Q6" s="17"/>
      <c r="R6" s="17" t="str">
        <f aca="false">IF(OR(O6="",P6="",Q6=""),"",O6+P6+Q6)</f>
        <v/>
      </c>
      <c r="S6" s="17" t="n">
        <f aca="false">IF(COUNTA(E6:R6)=0,"",SUM(E6,F6,J6,N6,R6))</f>
        <v>0</v>
      </c>
      <c r="T6" s="17" t="str">
        <f aca="false">IF(S6="","",IF(S6&gt;=45,"A",IF(S6&gt;=35,"B",IF(S6&gt;=25,"C",IF(S6&gt;=15,"D","F")))))</f>
        <v>F</v>
      </c>
      <c r="U6" s="17" t="n">
        <f aca="false">IF(S6="","",RANK(S6,$S$3:$S$22,0))</f>
        <v>1</v>
      </c>
    </row>
    <row r="7" customFormat="false" ht="21.75" hidden="false" customHeight="true" outlineLevel="0" collapsed="false">
      <c r="A7" s="13" t="n">
        <v>5</v>
      </c>
      <c r="B7" s="14"/>
      <c r="C7" s="13"/>
      <c r="D7" s="15"/>
      <c r="E7" s="13"/>
      <c r="F7" s="13"/>
      <c r="G7" s="13"/>
      <c r="H7" s="13"/>
      <c r="I7" s="13"/>
      <c r="J7" s="13" t="str">
        <f aca="false">IF(OR(G7="",H7="",I7=""),"",G7+H7+I7)</f>
        <v/>
      </c>
      <c r="K7" s="13"/>
      <c r="L7" s="13"/>
      <c r="M7" s="13"/>
      <c r="N7" s="13" t="str">
        <f aca="false">IF(OR(K7="",L7="",M7=""),"",K7+L7+M7)</f>
        <v/>
      </c>
      <c r="O7" s="13"/>
      <c r="P7" s="13"/>
      <c r="Q7" s="13"/>
      <c r="R7" s="13" t="str">
        <f aca="false">IF(OR(O7="",P7="",Q7=""),"",O7+P7+Q7)</f>
        <v/>
      </c>
      <c r="S7" s="13" t="n">
        <f aca="false">IF(COUNTA(E7:R7)=0,"",SUM(E7,F7,J7,N7,R7))</f>
        <v>0</v>
      </c>
      <c r="T7" s="13" t="str">
        <f aca="false">IF(S7="","",IF(S7&gt;=45,"A",IF(S7&gt;=35,"B",IF(S7&gt;=25,"C",IF(S7&gt;=15,"D","F")))))</f>
        <v>F</v>
      </c>
      <c r="U7" s="13" t="n">
        <f aca="false">IF(S7="","",RANK(S7,$S$3:$S$22,0))</f>
        <v>1</v>
      </c>
    </row>
    <row r="8" customFormat="false" ht="21.75" hidden="false" customHeight="true" outlineLevel="0" collapsed="false">
      <c r="A8" s="13" t="n">
        <v>6</v>
      </c>
      <c r="B8" s="16"/>
      <c r="C8" s="17"/>
      <c r="D8" s="18"/>
      <c r="E8" s="17"/>
      <c r="F8" s="17"/>
      <c r="G8" s="17"/>
      <c r="H8" s="17"/>
      <c r="I8" s="17"/>
      <c r="J8" s="17" t="str">
        <f aca="false">IF(OR(G8="",H8="",I8=""),"",G8+H8+I8)</f>
        <v/>
      </c>
      <c r="K8" s="17"/>
      <c r="L8" s="17"/>
      <c r="M8" s="17"/>
      <c r="N8" s="17" t="str">
        <f aca="false">IF(OR(K8="",L8="",M8=""),"",K8+L8+M8)</f>
        <v/>
      </c>
      <c r="O8" s="17"/>
      <c r="P8" s="17"/>
      <c r="Q8" s="17"/>
      <c r="R8" s="17" t="str">
        <f aca="false">IF(OR(O8="",P8="",Q8=""),"",O8+P8+Q8)</f>
        <v/>
      </c>
      <c r="S8" s="17" t="n">
        <f aca="false">IF(COUNTA(E8:R8)=0,"",SUM(E8,F8,J8,N8,R8))</f>
        <v>0</v>
      </c>
      <c r="T8" s="17" t="str">
        <f aca="false">IF(S8="","",IF(S8&gt;=45,"A",IF(S8&gt;=35,"B",IF(S8&gt;=25,"C",IF(S8&gt;=15,"D","F")))))</f>
        <v>F</v>
      </c>
      <c r="U8" s="17" t="n">
        <f aca="false">IF(S8="","",RANK(S8,$S$3:$S$22,0))</f>
        <v>1</v>
      </c>
    </row>
    <row r="9" customFormat="false" ht="21.75" hidden="false" customHeight="true" outlineLevel="0" collapsed="false">
      <c r="A9" s="13" t="n">
        <v>7</v>
      </c>
      <c r="B9" s="14"/>
      <c r="C9" s="13"/>
      <c r="D9" s="15"/>
      <c r="E9" s="13"/>
      <c r="F9" s="13"/>
      <c r="G9" s="13"/>
      <c r="H9" s="13"/>
      <c r="I9" s="13"/>
      <c r="J9" s="13" t="str">
        <f aca="false">IF(OR(G9="",H9="",I9=""),"",G9+H9+I9)</f>
        <v/>
      </c>
      <c r="K9" s="13"/>
      <c r="L9" s="13"/>
      <c r="M9" s="13"/>
      <c r="N9" s="13" t="str">
        <f aca="false">IF(OR(K9="",L9="",M9=""),"",K9+L9+M9)</f>
        <v/>
      </c>
      <c r="O9" s="13"/>
      <c r="P9" s="13"/>
      <c r="Q9" s="13"/>
      <c r="R9" s="13" t="str">
        <f aca="false">IF(OR(O9="",P9="",Q9=""),"",O9+P9+Q9)</f>
        <v/>
      </c>
      <c r="S9" s="13" t="n">
        <f aca="false">IF(COUNTA(E9:R9)=0,"",SUM(E9,F9,J9,N9,R9))</f>
        <v>0</v>
      </c>
      <c r="T9" s="13" t="str">
        <f aca="false">IF(S9="","",IF(S9&gt;=45,"A",IF(S9&gt;=35,"B",IF(S9&gt;=25,"C",IF(S9&gt;=15,"D","F")))))</f>
        <v>F</v>
      </c>
      <c r="U9" s="13" t="n">
        <f aca="false">IF(S9="","",RANK(S9,$S$3:$S$22,0))</f>
        <v>1</v>
      </c>
    </row>
    <row r="10" customFormat="false" ht="21.75" hidden="false" customHeight="true" outlineLevel="0" collapsed="false">
      <c r="A10" s="13" t="n">
        <v>8</v>
      </c>
      <c r="B10" s="16"/>
      <c r="C10" s="17"/>
      <c r="D10" s="18"/>
      <c r="E10" s="17"/>
      <c r="F10" s="17"/>
      <c r="G10" s="17"/>
      <c r="H10" s="17"/>
      <c r="I10" s="17"/>
      <c r="J10" s="17" t="str">
        <f aca="false">IF(OR(G10="",H10="",I10=""),"",G10+H10+I10)</f>
        <v/>
      </c>
      <c r="K10" s="17"/>
      <c r="L10" s="17"/>
      <c r="M10" s="17"/>
      <c r="N10" s="17" t="str">
        <f aca="false">IF(OR(K10="",L10="",M10=""),"",K10+L10+M10)</f>
        <v/>
      </c>
      <c r="O10" s="17"/>
      <c r="P10" s="17"/>
      <c r="Q10" s="17"/>
      <c r="R10" s="17" t="str">
        <f aca="false">IF(OR(O10="",P10="",Q10=""),"",O10+P10+Q10)</f>
        <v/>
      </c>
      <c r="S10" s="17" t="n">
        <f aca="false">IF(COUNTA(E10:R10)=0,"",SUM(E10,F10,J10,N10,R10))</f>
        <v>0</v>
      </c>
      <c r="T10" s="17" t="str">
        <f aca="false">IF(S10="","",IF(S10&gt;=45,"A",IF(S10&gt;=35,"B",IF(S10&gt;=25,"C",IF(S10&gt;=15,"D","F")))))</f>
        <v>F</v>
      </c>
      <c r="U10" s="17" t="n">
        <f aca="false">IF(S10="","",RANK(S10,$S$3:$S$22,0))</f>
        <v>1</v>
      </c>
    </row>
    <row r="11" customFormat="false" ht="21.75" hidden="false" customHeight="true" outlineLevel="0" collapsed="false">
      <c r="A11" s="13" t="n">
        <v>9</v>
      </c>
      <c r="B11" s="14"/>
      <c r="C11" s="13"/>
      <c r="D11" s="15"/>
      <c r="E11" s="13"/>
      <c r="F11" s="13"/>
      <c r="G11" s="13"/>
      <c r="H11" s="13"/>
      <c r="I11" s="13"/>
      <c r="J11" s="13" t="str">
        <f aca="false">IF(OR(G11="",H11="",I11=""),"",G11+H11+I11)</f>
        <v/>
      </c>
      <c r="K11" s="13"/>
      <c r="L11" s="13"/>
      <c r="M11" s="13"/>
      <c r="N11" s="13" t="str">
        <f aca="false">IF(OR(K11="",L11="",M11=""),"",K11+L11+M11)</f>
        <v/>
      </c>
      <c r="O11" s="13"/>
      <c r="P11" s="13"/>
      <c r="Q11" s="13"/>
      <c r="R11" s="13" t="str">
        <f aca="false">IF(OR(O11="",P11="",Q11=""),"",O11+P11+Q11)</f>
        <v/>
      </c>
      <c r="S11" s="13" t="n">
        <f aca="false">IF(COUNTA(E11:R11)=0,"",SUM(E11,F11,J11,N11,R11))</f>
        <v>0</v>
      </c>
      <c r="T11" s="13" t="str">
        <f aca="false">IF(S11="","",IF(S11&gt;=45,"A",IF(S11&gt;=35,"B",IF(S11&gt;=25,"C",IF(S11&gt;=15,"D","F")))))</f>
        <v>F</v>
      </c>
      <c r="U11" s="13" t="n">
        <f aca="false">IF(S11="","",RANK(S11,$S$3:$S$22,0))</f>
        <v>1</v>
      </c>
    </row>
    <row r="12" customFormat="false" ht="21.75" hidden="false" customHeight="true" outlineLevel="0" collapsed="false">
      <c r="A12" s="13" t="n">
        <v>10</v>
      </c>
      <c r="B12" s="16"/>
      <c r="C12" s="17"/>
      <c r="D12" s="18"/>
      <c r="E12" s="17"/>
      <c r="F12" s="17"/>
      <c r="G12" s="17"/>
      <c r="H12" s="17"/>
      <c r="I12" s="17"/>
      <c r="J12" s="17" t="str">
        <f aca="false">IF(OR(G12="",H12="",I12=""),"",G12+H12+I12)</f>
        <v/>
      </c>
      <c r="K12" s="17"/>
      <c r="L12" s="17"/>
      <c r="M12" s="17"/>
      <c r="N12" s="17" t="str">
        <f aca="false">IF(OR(K12="",L12="",M12=""),"",K12+L12+M12)</f>
        <v/>
      </c>
      <c r="O12" s="17"/>
      <c r="P12" s="17"/>
      <c r="Q12" s="17"/>
      <c r="R12" s="17" t="str">
        <f aca="false">IF(OR(O12="",P12="",Q12=""),"",O12+P12+Q12)</f>
        <v/>
      </c>
      <c r="S12" s="17" t="n">
        <f aca="false">IF(COUNTA(E12:R12)=0,"",SUM(E12,F12,J12,N12,R12))</f>
        <v>0</v>
      </c>
      <c r="T12" s="17" t="str">
        <f aca="false">IF(S12="","",IF(S12&gt;=45,"A",IF(S12&gt;=35,"B",IF(S12&gt;=25,"C",IF(S12&gt;=15,"D","F")))))</f>
        <v>F</v>
      </c>
      <c r="U12" s="17" t="n">
        <f aca="false">IF(S12="","",RANK(S12,$S$3:$S$22,0))</f>
        <v>1</v>
      </c>
    </row>
    <row r="13" customFormat="false" ht="21.75" hidden="false" customHeight="true" outlineLevel="0" collapsed="false">
      <c r="A13" s="13" t="n">
        <v>11</v>
      </c>
      <c r="B13" s="14"/>
      <c r="C13" s="13"/>
      <c r="D13" s="15"/>
      <c r="E13" s="13"/>
      <c r="F13" s="13"/>
      <c r="G13" s="13"/>
      <c r="H13" s="13"/>
      <c r="I13" s="13"/>
      <c r="J13" s="13" t="str">
        <f aca="false">IF(OR(G13="",H13="",I13=""),"",G13+H13+I13)</f>
        <v/>
      </c>
      <c r="K13" s="13"/>
      <c r="L13" s="13"/>
      <c r="M13" s="13"/>
      <c r="N13" s="13" t="str">
        <f aca="false">IF(OR(K13="",L13="",M13=""),"",K13+L13+M13)</f>
        <v/>
      </c>
      <c r="O13" s="13"/>
      <c r="P13" s="13"/>
      <c r="Q13" s="13"/>
      <c r="R13" s="13" t="str">
        <f aca="false">IF(OR(O13="",P13="",Q13=""),"",O13+P13+Q13)</f>
        <v/>
      </c>
      <c r="S13" s="13" t="n">
        <f aca="false">IF(COUNTA(E13:R13)=0,"",SUM(E13,F13,J13,N13,R13))</f>
        <v>0</v>
      </c>
      <c r="T13" s="13" t="str">
        <f aca="false">IF(S13="","",IF(S13&gt;=45,"A",IF(S13&gt;=35,"B",IF(S13&gt;=25,"C",IF(S13&gt;=15,"D","F")))))</f>
        <v>F</v>
      </c>
      <c r="U13" s="13" t="n">
        <f aca="false">IF(S13="","",RANK(S13,$S$3:$S$22,0))</f>
        <v>1</v>
      </c>
    </row>
    <row r="14" customFormat="false" ht="21.75" hidden="false" customHeight="true" outlineLevel="0" collapsed="false">
      <c r="A14" s="13" t="n">
        <v>12</v>
      </c>
      <c r="B14" s="16"/>
      <c r="C14" s="17"/>
      <c r="D14" s="18"/>
      <c r="E14" s="17"/>
      <c r="F14" s="17"/>
      <c r="G14" s="17"/>
      <c r="H14" s="17"/>
      <c r="I14" s="17"/>
      <c r="J14" s="17" t="str">
        <f aca="false">IF(OR(G14="",H14="",I14=""),"",G14+H14+I14)</f>
        <v/>
      </c>
      <c r="K14" s="17"/>
      <c r="L14" s="17"/>
      <c r="M14" s="17"/>
      <c r="N14" s="17" t="str">
        <f aca="false">IF(OR(K14="",L14="",M14=""),"",K14+L14+M14)</f>
        <v/>
      </c>
      <c r="O14" s="17"/>
      <c r="P14" s="17"/>
      <c r="Q14" s="17"/>
      <c r="R14" s="17" t="str">
        <f aca="false">IF(OR(O14="",P14="",Q14=""),"",O14+P14+Q14)</f>
        <v/>
      </c>
      <c r="S14" s="17" t="n">
        <f aca="false">IF(COUNTA(E14:R14)=0,"",SUM(E14,F14,J14,N14,R14))</f>
        <v>0</v>
      </c>
      <c r="T14" s="17" t="str">
        <f aca="false">IF(S14="","",IF(S14&gt;=45,"A",IF(S14&gt;=35,"B",IF(S14&gt;=25,"C",IF(S14&gt;=15,"D","F")))))</f>
        <v>F</v>
      </c>
      <c r="U14" s="17" t="n">
        <f aca="false">IF(S14="","",RANK(S14,$S$3:$S$22,0))</f>
        <v>1</v>
      </c>
    </row>
    <row r="15" customFormat="false" ht="21.75" hidden="false" customHeight="true" outlineLevel="0" collapsed="false">
      <c r="A15" s="13" t="n">
        <v>13</v>
      </c>
      <c r="B15" s="14"/>
      <c r="C15" s="13"/>
      <c r="D15" s="15"/>
      <c r="E15" s="13"/>
      <c r="F15" s="13"/>
      <c r="G15" s="13"/>
      <c r="H15" s="13"/>
      <c r="I15" s="13"/>
      <c r="J15" s="13" t="str">
        <f aca="false">IF(OR(G15="",H15="",I15=""),"",G15+H15+I15)</f>
        <v/>
      </c>
      <c r="K15" s="13"/>
      <c r="L15" s="13"/>
      <c r="M15" s="13"/>
      <c r="N15" s="13" t="str">
        <f aca="false">IF(OR(K15="",L15="",M15=""),"",K15+L15+M15)</f>
        <v/>
      </c>
      <c r="O15" s="13"/>
      <c r="P15" s="13"/>
      <c r="Q15" s="13"/>
      <c r="R15" s="13" t="str">
        <f aca="false">IF(OR(O15="",P15="",Q15=""),"",O15+P15+Q15)</f>
        <v/>
      </c>
      <c r="S15" s="13" t="n">
        <f aca="false">IF(COUNTA(E15:R15)=0,"",SUM(E15,F15,J15,N15,R15))</f>
        <v>0</v>
      </c>
      <c r="T15" s="13" t="str">
        <f aca="false">IF(S15="","",IF(S15&gt;=45,"A",IF(S15&gt;=35,"B",IF(S15&gt;=25,"C",IF(S15&gt;=15,"D","F")))))</f>
        <v>F</v>
      </c>
      <c r="U15" s="13" t="n">
        <f aca="false">IF(S15="","",RANK(S15,$S$3:$S$22,0))</f>
        <v>1</v>
      </c>
    </row>
    <row r="16" customFormat="false" ht="21.75" hidden="false" customHeight="true" outlineLevel="0" collapsed="false">
      <c r="A16" s="13" t="n">
        <v>14</v>
      </c>
      <c r="B16" s="16"/>
      <c r="C16" s="17"/>
      <c r="D16" s="18"/>
      <c r="E16" s="17"/>
      <c r="F16" s="17"/>
      <c r="G16" s="17"/>
      <c r="H16" s="17"/>
      <c r="I16" s="17"/>
      <c r="J16" s="17" t="str">
        <f aca="false">IF(OR(G16="",H16="",I16=""),"",G16+H16+I16)</f>
        <v/>
      </c>
      <c r="K16" s="17"/>
      <c r="L16" s="17"/>
      <c r="M16" s="17"/>
      <c r="N16" s="17" t="str">
        <f aca="false">IF(OR(K16="",L16="",M16=""),"",K16+L16+M16)</f>
        <v/>
      </c>
      <c r="O16" s="17"/>
      <c r="P16" s="17"/>
      <c r="Q16" s="17"/>
      <c r="R16" s="17" t="str">
        <f aca="false">IF(OR(O16="",P16="",Q16=""),"",O16+P16+Q16)</f>
        <v/>
      </c>
      <c r="S16" s="17" t="n">
        <f aca="false">IF(COUNTA(E16:R16)=0,"",SUM(E16,F16,J16,N16,R16))</f>
        <v>0</v>
      </c>
      <c r="T16" s="17" t="str">
        <f aca="false">IF(S16="","",IF(S16&gt;=45,"A",IF(S16&gt;=35,"B",IF(S16&gt;=25,"C",IF(S16&gt;=15,"D","F")))))</f>
        <v>F</v>
      </c>
      <c r="U16" s="17" t="n">
        <f aca="false">IF(S16="","",RANK(S16,$S$3:$S$22,0))</f>
        <v>1</v>
      </c>
    </row>
    <row r="17" customFormat="false" ht="21.75" hidden="false" customHeight="true" outlineLevel="0" collapsed="false">
      <c r="A17" s="13" t="n">
        <v>15</v>
      </c>
      <c r="B17" s="14"/>
      <c r="C17" s="13"/>
      <c r="D17" s="15"/>
      <c r="E17" s="13"/>
      <c r="F17" s="13"/>
      <c r="G17" s="13"/>
      <c r="H17" s="13"/>
      <c r="I17" s="13"/>
      <c r="J17" s="13" t="str">
        <f aca="false">IF(OR(G17="",H17="",I17=""),"",G17+H17+I17)</f>
        <v/>
      </c>
      <c r="K17" s="13"/>
      <c r="L17" s="13"/>
      <c r="M17" s="13"/>
      <c r="N17" s="13" t="str">
        <f aca="false">IF(OR(K17="",L17="",M17=""),"",K17+L17+M17)</f>
        <v/>
      </c>
      <c r="O17" s="13"/>
      <c r="P17" s="13"/>
      <c r="Q17" s="13"/>
      <c r="R17" s="13" t="str">
        <f aca="false">IF(OR(O17="",P17="",Q17=""),"",O17+P17+Q17)</f>
        <v/>
      </c>
      <c r="S17" s="13" t="n">
        <f aca="false">IF(COUNTA(E17:R17)=0,"",SUM(E17,F17,J17,N17,R17))</f>
        <v>0</v>
      </c>
      <c r="T17" s="13" t="str">
        <f aca="false">IF(S17="","",IF(S17&gt;=45,"A",IF(S17&gt;=35,"B",IF(S17&gt;=25,"C",IF(S17&gt;=15,"D","F")))))</f>
        <v>F</v>
      </c>
      <c r="U17" s="13" t="n">
        <f aca="false">IF(S17="","",RANK(S17,$S$3:$S$22,0))</f>
        <v>1</v>
      </c>
    </row>
    <row r="18" customFormat="false" ht="21.75" hidden="false" customHeight="true" outlineLevel="0" collapsed="false">
      <c r="A18" s="13" t="n">
        <v>16</v>
      </c>
      <c r="B18" s="16"/>
      <c r="C18" s="17"/>
      <c r="D18" s="18"/>
      <c r="E18" s="17"/>
      <c r="F18" s="17"/>
      <c r="G18" s="17"/>
      <c r="H18" s="17"/>
      <c r="I18" s="17"/>
      <c r="J18" s="17" t="str">
        <f aca="false">IF(OR(G18="",H18="",I18=""),"",G18+H18+I18)</f>
        <v/>
      </c>
      <c r="K18" s="17"/>
      <c r="L18" s="17"/>
      <c r="M18" s="17"/>
      <c r="N18" s="17" t="str">
        <f aca="false">IF(OR(K18="",L18="",M18=""),"",K18+L18+M18)</f>
        <v/>
      </c>
      <c r="O18" s="17"/>
      <c r="P18" s="17"/>
      <c r="Q18" s="17"/>
      <c r="R18" s="17" t="str">
        <f aca="false">IF(OR(O18="",P18="",Q18=""),"",O18+P18+Q18)</f>
        <v/>
      </c>
      <c r="S18" s="17" t="n">
        <f aca="false">IF(COUNTA(E18:R18)=0,"",SUM(E18,F18,J18,N18,R18))</f>
        <v>0</v>
      </c>
      <c r="T18" s="17" t="str">
        <f aca="false">IF(S18="","",IF(S18&gt;=45,"A",IF(S18&gt;=35,"B",IF(S18&gt;=25,"C",IF(S18&gt;=15,"D","F")))))</f>
        <v>F</v>
      </c>
      <c r="U18" s="17" t="n">
        <f aca="false">IF(S18="","",RANK(S18,$S$3:$S$22,0))</f>
        <v>1</v>
      </c>
    </row>
    <row r="19" customFormat="false" ht="21.75" hidden="false" customHeight="true" outlineLevel="0" collapsed="false">
      <c r="A19" s="13" t="n">
        <v>17</v>
      </c>
      <c r="B19" s="14"/>
      <c r="C19" s="13"/>
      <c r="D19" s="15"/>
      <c r="E19" s="13"/>
      <c r="F19" s="13"/>
      <c r="G19" s="13"/>
      <c r="H19" s="13"/>
      <c r="I19" s="13"/>
      <c r="J19" s="13" t="str">
        <f aca="false">IF(OR(G19="",H19="",I19=""),"",G19+H19+I19)</f>
        <v/>
      </c>
      <c r="K19" s="13"/>
      <c r="L19" s="13"/>
      <c r="M19" s="13"/>
      <c r="N19" s="13" t="str">
        <f aca="false">IF(OR(K19="",L19="",M19=""),"",K19+L19+M19)</f>
        <v/>
      </c>
      <c r="O19" s="13"/>
      <c r="P19" s="13"/>
      <c r="Q19" s="13"/>
      <c r="R19" s="13" t="str">
        <f aca="false">IF(OR(O19="",P19="",Q19=""),"",O19+P19+Q19)</f>
        <v/>
      </c>
      <c r="S19" s="13" t="n">
        <f aca="false">IF(COUNTA(E19:R19)=0,"",SUM(E19,F19,J19,N19,R19))</f>
        <v>0</v>
      </c>
      <c r="T19" s="13" t="str">
        <f aca="false">IF(S19="","",IF(S19&gt;=45,"A",IF(S19&gt;=35,"B",IF(S19&gt;=25,"C",IF(S19&gt;=15,"D","F")))))</f>
        <v>F</v>
      </c>
      <c r="U19" s="13" t="n">
        <f aca="false">IF(S19="","",RANK(S19,$S$3:$S$22,0))</f>
        <v>1</v>
      </c>
    </row>
    <row r="20" customFormat="false" ht="21.75" hidden="false" customHeight="true" outlineLevel="0" collapsed="false">
      <c r="A20" s="13" t="n">
        <v>18</v>
      </c>
      <c r="B20" s="16"/>
      <c r="C20" s="17"/>
      <c r="D20" s="18"/>
      <c r="E20" s="17"/>
      <c r="F20" s="17"/>
      <c r="G20" s="17"/>
      <c r="H20" s="17"/>
      <c r="I20" s="17"/>
      <c r="J20" s="17" t="str">
        <f aca="false">IF(OR(G20="",H20="",I20=""),"",G20+H20+I20)</f>
        <v/>
      </c>
      <c r="K20" s="17"/>
      <c r="L20" s="17"/>
      <c r="M20" s="17"/>
      <c r="N20" s="17" t="str">
        <f aca="false">IF(OR(K20="",L20="",M20=""),"",K20+L20+M20)</f>
        <v/>
      </c>
      <c r="O20" s="17"/>
      <c r="P20" s="17"/>
      <c r="Q20" s="17"/>
      <c r="R20" s="17" t="str">
        <f aca="false">IF(OR(O20="",P20="",Q20=""),"",O20+P20+Q20)</f>
        <v/>
      </c>
      <c r="S20" s="17" t="n">
        <f aca="false">IF(COUNTA(E20:R20)=0,"",SUM(E20,F20,J20,N20,R20))</f>
        <v>0</v>
      </c>
      <c r="T20" s="17" t="str">
        <f aca="false">IF(S20="","",IF(S20&gt;=45,"A",IF(S20&gt;=35,"B",IF(S20&gt;=25,"C",IF(S20&gt;=15,"D","F")))))</f>
        <v>F</v>
      </c>
      <c r="U20" s="17" t="n">
        <f aca="false">IF(S20="","",RANK(S20,$S$3:$S$22,0))</f>
        <v>1</v>
      </c>
    </row>
    <row r="21" customFormat="false" ht="21.75" hidden="false" customHeight="true" outlineLevel="0" collapsed="false">
      <c r="A21" s="13" t="n">
        <v>19</v>
      </c>
      <c r="B21" s="14"/>
      <c r="C21" s="13"/>
      <c r="D21" s="15"/>
      <c r="E21" s="13"/>
      <c r="F21" s="13"/>
      <c r="G21" s="13"/>
      <c r="H21" s="13"/>
      <c r="I21" s="13"/>
      <c r="J21" s="13" t="str">
        <f aca="false">IF(OR(G21="",H21="",I21=""),"",G21+H21+I21)</f>
        <v/>
      </c>
      <c r="K21" s="13"/>
      <c r="L21" s="13"/>
      <c r="M21" s="13"/>
      <c r="N21" s="13" t="str">
        <f aca="false">IF(OR(K21="",L21="",M21=""),"",K21+L21+M21)</f>
        <v/>
      </c>
      <c r="O21" s="13"/>
      <c r="P21" s="13"/>
      <c r="Q21" s="13"/>
      <c r="R21" s="13" t="str">
        <f aca="false">IF(OR(O21="",P21="",Q21=""),"",O21+P21+Q21)</f>
        <v/>
      </c>
      <c r="S21" s="13" t="n">
        <f aca="false">IF(COUNTA(E21:R21)=0,"",SUM(E21,F21,J21,N21,R21))</f>
        <v>0</v>
      </c>
      <c r="T21" s="13" t="str">
        <f aca="false">IF(S21="","",IF(S21&gt;=45,"A",IF(S21&gt;=35,"B",IF(S21&gt;=25,"C",IF(S21&gt;=15,"D","F")))))</f>
        <v>F</v>
      </c>
      <c r="U21" s="13" t="n">
        <f aca="false">IF(S21="","",RANK(S21,$S$3:$S$22,0))</f>
        <v>1</v>
      </c>
    </row>
    <row r="22" customFormat="false" ht="21.75" hidden="false" customHeight="true" outlineLevel="0" collapsed="false">
      <c r="A22" s="13" t="n">
        <v>20</v>
      </c>
      <c r="B22" s="16"/>
      <c r="C22" s="17"/>
      <c r="D22" s="18"/>
      <c r="E22" s="17"/>
      <c r="F22" s="17"/>
      <c r="G22" s="17"/>
      <c r="H22" s="17"/>
      <c r="I22" s="17"/>
      <c r="J22" s="17" t="str">
        <f aca="false">IF(OR(G22="",H22="",I22=""),"",G22+H22+I22)</f>
        <v/>
      </c>
      <c r="K22" s="17"/>
      <c r="L22" s="17"/>
      <c r="M22" s="17"/>
      <c r="N22" s="17" t="str">
        <f aca="false">IF(OR(K22="",L22="",M22=""),"",K22+L22+M22)</f>
        <v/>
      </c>
      <c r="O22" s="17"/>
      <c r="P22" s="17"/>
      <c r="Q22" s="17"/>
      <c r="R22" s="17" t="str">
        <f aca="false">IF(OR(O22="",P22="",Q22=""),"",O22+P22+Q22)</f>
        <v/>
      </c>
      <c r="S22" s="17" t="n">
        <f aca="false">IF(COUNTA(E22:R22)=0,"",SUM(E22,F22,J22,N22,R22))</f>
        <v>0</v>
      </c>
      <c r="T22" s="17" t="str">
        <f aca="false">IF(S22="","",IF(S22&gt;=45,"A",IF(S22&gt;=35,"B",IF(S22&gt;=25,"C",IF(S22&gt;=15,"D","F")))))</f>
        <v>F</v>
      </c>
      <c r="U22" s="17" t="n">
        <f aca="false">IF(S22="","",RANK(S22,$S$3:$S$22,0))</f>
        <v>1</v>
      </c>
    </row>
  </sheetData>
  <mergeCells count="7">
    <mergeCell ref="A1:A2"/>
    <mergeCell ref="B1:B2"/>
    <mergeCell ref="C1:C2"/>
    <mergeCell ref="D1:D2"/>
    <mergeCell ref="G1:J1"/>
    <mergeCell ref="K1:N1"/>
    <mergeCell ref="O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9" min="4" style="0" width="10"/>
    <col collapsed="false" customWidth="true" hidden="false" outlineLevel="0" max="10" min="10" style="0" width="8"/>
    <col collapsed="false" customWidth="true" hidden="false" outlineLevel="0" max="13" min="11" style="0" width="10"/>
    <col collapsed="false" customWidth="true" hidden="false" outlineLevel="0" max="14" min="14" style="0" width="8"/>
    <col collapsed="false" customWidth="true" hidden="false" outlineLevel="0" max="17" min="15" style="0" width="10"/>
    <col collapsed="false" customWidth="true" hidden="false" outlineLevel="0" max="19" min="18" style="0" width="8"/>
    <col collapsed="false" customWidth="true" hidden="false" outlineLevel="0" max="21" min="20" style="0" width="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 t="s">
        <v>7</v>
      </c>
      <c r="L1" s="2"/>
      <c r="M1" s="2"/>
      <c r="N1" s="2"/>
      <c r="O1" s="2" t="s">
        <v>8</v>
      </c>
      <c r="P1" s="2"/>
      <c r="Q1" s="2"/>
      <c r="R1" s="2"/>
      <c r="S1" s="1" t="s">
        <v>9</v>
      </c>
      <c r="T1" s="1" t="s">
        <v>10</v>
      </c>
      <c r="U1" s="1" t="s">
        <v>11</v>
      </c>
    </row>
    <row r="2" customFormat="false" ht="39.75" hidden="false" customHeight="true" outlineLevel="0" collapsed="false">
      <c r="A2" s="1"/>
      <c r="B2" s="1"/>
      <c r="C2" s="1"/>
      <c r="D2" s="1"/>
      <c r="E2" s="3" t="s">
        <v>12</v>
      </c>
      <c r="F2" s="4" t="s">
        <v>12</v>
      </c>
      <c r="G2" s="5" t="s">
        <v>13</v>
      </c>
      <c r="H2" s="5" t="s">
        <v>14</v>
      </c>
      <c r="I2" s="5" t="s">
        <v>15</v>
      </c>
      <c r="J2" s="6" t="s">
        <v>16</v>
      </c>
      <c r="K2" s="7" t="s">
        <v>17</v>
      </c>
      <c r="L2" s="7" t="s">
        <v>18</v>
      </c>
      <c r="M2" s="7" t="s">
        <v>15</v>
      </c>
      <c r="N2" s="8" t="s">
        <v>16</v>
      </c>
      <c r="O2" s="9" t="s">
        <v>19</v>
      </c>
      <c r="P2" s="9" t="s">
        <v>20</v>
      </c>
      <c r="Q2" s="9" t="s">
        <v>15</v>
      </c>
      <c r="R2" s="10" t="s">
        <v>16</v>
      </c>
      <c r="S2" s="11" t="s">
        <v>21</v>
      </c>
      <c r="T2" s="11"/>
      <c r="U2" s="12"/>
    </row>
    <row r="3" customFormat="false" ht="21.75" hidden="false" customHeight="true" outlineLevel="0" collapsed="false">
      <c r="A3" s="13" t="n">
        <v>1</v>
      </c>
      <c r="B3" s="14"/>
      <c r="C3" s="13"/>
      <c r="D3" s="15"/>
      <c r="E3" s="13"/>
      <c r="F3" s="13"/>
      <c r="G3" s="13"/>
      <c r="H3" s="13"/>
      <c r="I3" s="13"/>
      <c r="J3" s="13" t="str">
        <f aca="false">IF(OR(G3="",H3="",I3=""),"",G3+H3+I3)</f>
        <v/>
      </c>
      <c r="K3" s="13"/>
      <c r="L3" s="13"/>
      <c r="M3" s="13"/>
      <c r="N3" s="13" t="str">
        <f aca="false">IF(OR(K3="",L3="",M3=""),"",K3+L3+M3)</f>
        <v/>
      </c>
      <c r="O3" s="13"/>
      <c r="P3" s="13"/>
      <c r="Q3" s="13"/>
      <c r="R3" s="13" t="str">
        <f aca="false">IF(OR(O3="",P3="",Q3=""),"",O3+P3+Q3)</f>
        <v/>
      </c>
      <c r="S3" s="13" t="n">
        <f aca="false">IF(COUNTA(E3:R3)=0,"",SUM(E3,F3,J3,N3,R3))</f>
        <v>0</v>
      </c>
      <c r="T3" s="13" t="str">
        <f aca="false">IF(S3="","",IF(S3&gt;=45,"A",IF(S3&gt;=35,"B",IF(S3&gt;=25,"C",IF(S3&gt;=15,"D","F")))))</f>
        <v>F</v>
      </c>
      <c r="U3" s="13" t="n">
        <f aca="false">IF(S3="","",RANK(S3,$S$3:$S$22,0))</f>
        <v>1</v>
      </c>
    </row>
    <row r="4" customFormat="false" ht="21.75" hidden="false" customHeight="true" outlineLevel="0" collapsed="false">
      <c r="A4" s="13" t="n">
        <v>2</v>
      </c>
      <c r="B4" s="16"/>
      <c r="C4" s="17"/>
      <c r="D4" s="18"/>
      <c r="E4" s="17"/>
      <c r="F4" s="17"/>
      <c r="G4" s="17"/>
      <c r="H4" s="17"/>
      <c r="I4" s="17"/>
      <c r="J4" s="17" t="str">
        <f aca="false">IF(OR(G4="",H4="",I4=""),"",G4+H4+I4)</f>
        <v/>
      </c>
      <c r="K4" s="17"/>
      <c r="L4" s="17"/>
      <c r="M4" s="17"/>
      <c r="N4" s="17" t="str">
        <f aca="false">IF(OR(K4="",L4="",M4=""),"",K4+L4+M4)</f>
        <v/>
      </c>
      <c r="O4" s="17"/>
      <c r="P4" s="17"/>
      <c r="Q4" s="17"/>
      <c r="R4" s="17" t="str">
        <f aca="false">IF(OR(O4="",P4="",Q4=""),"",O4+P4+Q4)</f>
        <v/>
      </c>
      <c r="S4" s="17" t="n">
        <f aca="false">IF(COUNTA(E4:R4)=0,"",SUM(E4,F4,J4,N4,R4))</f>
        <v>0</v>
      </c>
      <c r="T4" s="17" t="str">
        <f aca="false">IF(S4="","",IF(S4&gt;=45,"A",IF(S4&gt;=35,"B",IF(S4&gt;=25,"C",IF(S4&gt;=15,"D","F")))))</f>
        <v>F</v>
      </c>
      <c r="U4" s="17" t="n">
        <f aca="false">IF(S4="","",RANK(S4,$S$3:$S$22,0))</f>
        <v>1</v>
      </c>
    </row>
    <row r="5" customFormat="false" ht="21.75" hidden="false" customHeight="true" outlineLevel="0" collapsed="false">
      <c r="A5" s="13" t="n">
        <v>3</v>
      </c>
      <c r="B5" s="14"/>
      <c r="C5" s="13"/>
      <c r="D5" s="15"/>
      <c r="E5" s="13"/>
      <c r="F5" s="13"/>
      <c r="G5" s="13"/>
      <c r="H5" s="13"/>
      <c r="I5" s="13"/>
      <c r="J5" s="13" t="str">
        <f aca="false">IF(OR(G5="",H5="",I5=""),"",G5+H5+I5)</f>
        <v/>
      </c>
      <c r="K5" s="13"/>
      <c r="L5" s="13"/>
      <c r="M5" s="13"/>
      <c r="N5" s="13" t="str">
        <f aca="false">IF(OR(K5="",L5="",M5=""),"",K5+L5+M5)</f>
        <v/>
      </c>
      <c r="O5" s="13"/>
      <c r="P5" s="13"/>
      <c r="Q5" s="13"/>
      <c r="R5" s="13" t="str">
        <f aca="false">IF(OR(O5="",P5="",Q5=""),"",O5+P5+Q5)</f>
        <v/>
      </c>
      <c r="S5" s="13" t="n">
        <f aca="false">IF(COUNTA(E5:R5)=0,"",SUM(E5,F5,J5,N5,R5))</f>
        <v>0</v>
      </c>
      <c r="T5" s="13" t="str">
        <f aca="false">IF(S5="","",IF(S5&gt;=45,"A",IF(S5&gt;=35,"B",IF(S5&gt;=25,"C",IF(S5&gt;=15,"D","F")))))</f>
        <v>F</v>
      </c>
      <c r="U5" s="13" t="n">
        <f aca="false">IF(S5="","",RANK(S5,$S$3:$S$22,0))</f>
        <v>1</v>
      </c>
    </row>
    <row r="6" customFormat="false" ht="21.75" hidden="false" customHeight="true" outlineLevel="0" collapsed="false">
      <c r="A6" s="13" t="n">
        <v>4</v>
      </c>
      <c r="B6" s="16"/>
      <c r="C6" s="17"/>
      <c r="D6" s="18"/>
      <c r="E6" s="17"/>
      <c r="F6" s="17"/>
      <c r="G6" s="17"/>
      <c r="H6" s="17"/>
      <c r="I6" s="17"/>
      <c r="J6" s="17" t="str">
        <f aca="false">IF(OR(G6="",H6="",I6=""),"",G6+H6+I6)</f>
        <v/>
      </c>
      <c r="K6" s="17"/>
      <c r="L6" s="17"/>
      <c r="M6" s="17"/>
      <c r="N6" s="17" t="str">
        <f aca="false">IF(OR(K6="",L6="",M6=""),"",K6+L6+M6)</f>
        <v/>
      </c>
      <c r="O6" s="17"/>
      <c r="P6" s="17"/>
      <c r="Q6" s="17"/>
      <c r="R6" s="17" t="str">
        <f aca="false">IF(OR(O6="",P6="",Q6=""),"",O6+P6+Q6)</f>
        <v/>
      </c>
      <c r="S6" s="17" t="n">
        <f aca="false">IF(COUNTA(E6:R6)=0,"",SUM(E6,F6,J6,N6,R6))</f>
        <v>0</v>
      </c>
      <c r="T6" s="17" t="str">
        <f aca="false">IF(S6="","",IF(S6&gt;=45,"A",IF(S6&gt;=35,"B",IF(S6&gt;=25,"C",IF(S6&gt;=15,"D","F")))))</f>
        <v>F</v>
      </c>
      <c r="U6" s="17" t="n">
        <f aca="false">IF(S6="","",RANK(S6,$S$3:$S$22,0))</f>
        <v>1</v>
      </c>
    </row>
    <row r="7" customFormat="false" ht="21.75" hidden="false" customHeight="true" outlineLevel="0" collapsed="false">
      <c r="A7" s="13" t="n">
        <v>5</v>
      </c>
      <c r="B7" s="14"/>
      <c r="C7" s="13"/>
      <c r="D7" s="15"/>
      <c r="E7" s="13"/>
      <c r="F7" s="13"/>
      <c r="G7" s="13"/>
      <c r="H7" s="13"/>
      <c r="I7" s="13"/>
      <c r="J7" s="13" t="str">
        <f aca="false">IF(OR(G7="",H7="",I7=""),"",G7+H7+I7)</f>
        <v/>
      </c>
      <c r="K7" s="13"/>
      <c r="L7" s="13"/>
      <c r="M7" s="13"/>
      <c r="N7" s="13" t="str">
        <f aca="false">IF(OR(K7="",L7="",M7=""),"",K7+L7+M7)</f>
        <v/>
      </c>
      <c r="O7" s="13"/>
      <c r="P7" s="13"/>
      <c r="Q7" s="13"/>
      <c r="R7" s="13" t="str">
        <f aca="false">IF(OR(O7="",P7="",Q7=""),"",O7+P7+Q7)</f>
        <v/>
      </c>
      <c r="S7" s="13" t="n">
        <f aca="false">IF(COUNTA(E7:R7)=0,"",SUM(E7,F7,J7,N7,R7))</f>
        <v>0</v>
      </c>
      <c r="T7" s="13" t="str">
        <f aca="false">IF(S7="","",IF(S7&gt;=45,"A",IF(S7&gt;=35,"B",IF(S7&gt;=25,"C",IF(S7&gt;=15,"D","F")))))</f>
        <v>F</v>
      </c>
      <c r="U7" s="13" t="n">
        <f aca="false">IF(S7="","",RANK(S7,$S$3:$S$22,0))</f>
        <v>1</v>
      </c>
    </row>
    <row r="8" customFormat="false" ht="21.75" hidden="false" customHeight="true" outlineLevel="0" collapsed="false">
      <c r="A8" s="13" t="n">
        <v>6</v>
      </c>
      <c r="B8" s="16"/>
      <c r="C8" s="17"/>
      <c r="D8" s="18"/>
      <c r="E8" s="17"/>
      <c r="F8" s="17"/>
      <c r="G8" s="17"/>
      <c r="H8" s="17"/>
      <c r="I8" s="17"/>
      <c r="J8" s="17" t="str">
        <f aca="false">IF(OR(G8="",H8="",I8=""),"",G8+H8+I8)</f>
        <v/>
      </c>
      <c r="K8" s="17"/>
      <c r="L8" s="17"/>
      <c r="M8" s="17"/>
      <c r="N8" s="17" t="str">
        <f aca="false">IF(OR(K8="",L8="",M8=""),"",K8+L8+M8)</f>
        <v/>
      </c>
      <c r="O8" s="17"/>
      <c r="P8" s="17"/>
      <c r="Q8" s="17"/>
      <c r="R8" s="17" t="str">
        <f aca="false">IF(OR(O8="",P8="",Q8=""),"",O8+P8+Q8)</f>
        <v/>
      </c>
      <c r="S8" s="17" t="n">
        <f aca="false">IF(COUNTA(E8:R8)=0,"",SUM(E8,F8,J8,N8,R8))</f>
        <v>0</v>
      </c>
      <c r="T8" s="17" t="str">
        <f aca="false">IF(S8="","",IF(S8&gt;=45,"A",IF(S8&gt;=35,"B",IF(S8&gt;=25,"C",IF(S8&gt;=15,"D","F")))))</f>
        <v>F</v>
      </c>
      <c r="U8" s="17" t="n">
        <f aca="false">IF(S8="","",RANK(S8,$S$3:$S$22,0))</f>
        <v>1</v>
      </c>
    </row>
    <row r="9" customFormat="false" ht="21.75" hidden="false" customHeight="true" outlineLevel="0" collapsed="false">
      <c r="A9" s="13" t="n">
        <v>7</v>
      </c>
      <c r="B9" s="14"/>
      <c r="C9" s="13"/>
      <c r="D9" s="15"/>
      <c r="E9" s="13"/>
      <c r="F9" s="13"/>
      <c r="G9" s="13"/>
      <c r="H9" s="13"/>
      <c r="I9" s="13"/>
      <c r="J9" s="13" t="str">
        <f aca="false">IF(OR(G9="",H9="",I9=""),"",G9+H9+I9)</f>
        <v/>
      </c>
      <c r="K9" s="13"/>
      <c r="L9" s="13"/>
      <c r="M9" s="13"/>
      <c r="N9" s="13" t="str">
        <f aca="false">IF(OR(K9="",L9="",M9=""),"",K9+L9+M9)</f>
        <v/>
      </c>
      <c r="O9" s="13"/>
      <c r="P9" s="13"/>
      <c r="Q9" s="13"/>
      <c r="R9" s="13" t="str">
        <f aca="false">IF(OR(O9="",P9="",Q9=""),"",O9+P9+Q9)</f>
        <v/>
      </c>
      <c r="S9" s="13" t="n">
        <f aca="false">IF(COUNTA(E9:R9)=0,"",SUM(E9,F9,J9,N9,R9))</f>
        <v>0</v>
      </c>
      <c r="T9" s="13" t="str">
        <f aca="false">IF(S9="","",IF(S9&gt;=45,"A",IF(S9&gt;=35,"B",IF(S9&gt;=25,"C",IF(S9&gt;=15,"D","F")))))</f>
        <v>F</v>
      </c>
      <c r="U9" s="13" t="n">
        <f aca="false">IF(S9="","",RANK(S9,$S$3:$S$22,0))</f>
        <v>1</v>
      </c>
    </row>
    <row r="10" customFormat="false" ht="21.75" hidden="false" customHeight="true" outlineLevel="0" collapsed="false">
      <c r="A10" s="13" t="n">
        <v>8</v>
      </c>
      <c r="B10" s="16"/>
      <c r="C10" s="17"/>
      <c r="D10" s="18"/>
      <c r="E10" s="17"/>
      <c r="F10" s="17"/>
      <c r="G10" s="17"/>
      <c r="H10" s="17"/>
      <c r="I10" s="17"/>
      <c r="J10" s="17" t="str">
        <f aca="false">IF(OR(G10="",H10="",I10=""),"",G10+H10+I10)</f>
        <v/>
      </c>
      <c r="K10" s="17"/>
      <c r="L10" s="17"/>
      <c r="M10" s="17"/>
      <c r="N10" s="17" t="str">
        <f aca="false">IF(OR(K10="",L10="",M10=""),"",K10+L10+M10)</f>
        <v/>
      </c>
      <c r="O10" s="17"/>
      <c r="P10" s="17"/>
      <c r="Q10" s="17"/>
      <c r="R10" s="17" t="str">
        <f aca="false">IF(OR(O10="",P10="",Q10=""),"",O10+P10+Q10)</f>
        <v/>
      </c>
      <c r="S10" s="17" t="n">
        <f aca="false">IF(COUNTA(E10:R10)=0,"",SUM(E10,F10,J10,N10,R10))</f>
        <v>0</v>
      </c>
      <c r="T10" s="17" t="str">
        <f aca="false">IF(S10="","",IF(S10&gt;=45,"A",IF(S10&gt;=35,"B",IF(S10&gt;=25,"C",IF(S10&gt;=15,"D","F")))))</f>
        <v>F</v>
      </c>
      <c r="U10" s="17" t="n">
        <f aca="false">IF(S10="","",RANK(S10,$S$3:$S$22,0))</f>
        <v>1</v>
      </c>
    </row>
    <row r="11" customFormat="false" ht="21.75" hidden="false" customHeight="true" outlineLevel="0" collapsed="false">
      <c r="A11" s="13" t="n">
        <v>9</v>
      </c>
      <c r="B11" s="14"/>
      <c r="C11" s="13"/>
      <c r="D11" s="15"/>
      <c r="E11" s="13"/>
      <c r="F11" s="13"/>
      <c r="G11" s="13"/>
      <c r="H11" s="13"/>
      <c r="I11" s="13"/>
      <c r="J11" s="13" t="str">
        <f aca="false">IF(OR(G11="",H11="",I11=""),"",G11+H11+I11)</f>
        <v/>
      </c>
      <c r="K11" s="13"/>
      <c r="L11" s="13"/>
      <c r="M11" s="13"/>
      <c r="N11" s="13" t="str">
        <f aca="false">IF(OR(K11="",L11="",M11=""),"",K11+L11+M11)</f>
        <v/>
      </c>
      <c r="O11" s="13"/>
      <c r="P11" s="13"/>
      <c r="Q11" s="13"/>
      <c r="R11" s="13" t="str">
        <f aca="false">IF(OR(O11="",P11="",Q11=""),"",O11+P11+Q11)</f>
        <v/>
      </c>
      <c r="S11" s="13" t="n">
        <f aca="false">IF(COUNTA(E11:R11)=0,"",SUM(E11,F11,J11,N11,R11))</f>
        <v>0</v>
      </c>
      <c r="T11" s="13" t="str">
        <f aca="false">IF(S11="","",IF(S11&gt;=45,"A",IF(S11&gt;=35,"B",IF(S11&gt;=25,"C",IF(S11&gt;=15,"D","F")))))</f>
        <v>F</v>
      </c>
      <c r="U11" s="13" t="n">
        <f aca="false">IF(S11="","",RANK(S11,$S$3:$S$22,0))</f>
        <v>1</v>
      </c>
    </row>
    <row r="12" customFormat="false" ht="21.75" hidden="false" customHeight="true" outlineLevel="0" collapsed="false">
      <c r="A12" s="13" t="n">
        <v>10</v>
      </c>
      <c r="B12" s="16"/>
      <c r="C12" s="17"/>
      <c r="D12" s="18"/>
      <c r="E12" s="17"/>
      <c r="F12" s="17"/>
      <c r="G12" s="17"/>
      <c r="H12" s="17"/>
      <c r="I12" s="17"/>
      <c r="J12" s="17" t="str">
        <f aca="false">IF(OR(G12="",H12="",I12=""),"",G12+H12+I12)</f>
        <v/>
      </c>
      <c r="K12" s="17"/>
      <c r="L12" s="17"/>
      <c r="M12" s="17"/>
      <c r="N12" s="17" t="str">
        <f aca="false">IF(OR(K12="",L12="",M12=""),"",K12+L12+M12)</f>
        <v/>
      </c>
      <c r="O12" s="17"/>
      <c r="P12" s="17"/>
      <c r="Q12" s="17"/>
      <c r="R12" s="17" t="str">
        <f aca="false">IF(OR(O12="",P12="",Q12=""),"",O12+P12+Q12)</f>
        <v/>
      </c>
      <c r="S12" s="17" t="n">
        <f aca="false">IF(COUNTA(E12:R12)=0,"",SUM(E12,F12,J12,N12,R12))</f>
        <v>0</v>
      </c>
      <c r="T12" s="17" t="str">
        <f aca="false">IF(S12="","",IF(S12&gt;=45,"A",IF(S12&gt;=35,"B",IF(S12&gt;=25,"C",IF(S12&gt;=15,"D","F")))))</f>
        <v>F</v>
      </c>
      <c r="U12" s="17" t="n">
        <f aca="false">IF(S12="","",RANK(S12,$S$3:$S$22,0))</f>
        <v>1</v>
      </c>
    </row>
    <row r="13" customFormat="false" ht="21.75" hidden="false" customHeight="true" outlineLevel="0" collapsed="false">
      <c r="A13" s="13" t="n">
        <v>11</v>
      </c>
      <c r="B13" s="14"/>
      <c r="C13" s="13"/>
      <c r="D13" s="15"/>
      <c r="E13" s="13"/>
      <c r="F13" s="13"/>
      <c r="G13" s="13"/>
      <c r="H13" s="13"/>
      <c r="I13" s="13"/>
      <c r="J13" s="13" t="str">
        <f aca="false">IF(OR(G13="",H13="",I13=""),"",G13+H13+I13)</f>
        <v/>
      </c>
      <c r="K13" s="13"/>
      <c r="L13" s="13"/>
      <c r="M13" s="13"/>
      <c r="N13" s="13" t="str">
        <f aca="false">IF(OR(K13="",L13="",M13=""),"",K13+L13+M13)</f>
        <v/>
      </c>
      <c r="O13" s="13"/>
      <c r="P13" s="13"/>
      <c r="Q13" s="13"/>
      <c r="R13" s="13" t="str">
        <f aca="false">IF(OR(O13="",P13="",Q13=""),"",O13+P13+Q13)</f>
        <v/>
      </c>
      <c r="S13" s="13" t="n">
        <f aca="false">IF(COUNTA(E13:R13)=0,"",SUM(E13,F13,J13,N13,R13))</f>
        <v>0</v>
      </c>
      <c r="T13" s="13" t="str">
        <f aca="false">IF(S13="","",IF(S13&gt;=45,"A",IF(S13&gt;=35,"B",IF(S13&gt;=25,"C",IF(S13&gt;=15,"D","F")))))</f>
        <v>F</v>
      </c>
      <c r="U13" s="13" t="n">
        <f aca="false">IF(S13="","",RANK(S13,$S$3:$S$22,0))</f>
        <v>1</v>
      </c>
    </row>
    <row r="14" customFormat="false" ht="21.75" hidden="false" customHeight="true" outlineLevel="0" collapsed="false">
      <c r="A14" s="13" t="n">
        <v>12</v>
      </c>
      <c r="B14" s="16"/>
      <c r="C14" s="17"/>
      <c r="D14" s="18"/>
      <c r="E14" s="17"/>
      <c r="F14" s="17"/>
      <c r="G14" s="17"/>
      <c r="H14" s="17"/>
      <c r="I14" s="17"/>
      <c r="J14" s="17" t="str">
        <f aca="false">IF(OR(G14="",H14="",I14=""),"",G14+H14+I14)</f>
        <v/>
      </c>
      <c r="K14" s="17"/>
      <c r="L14" s="17"/>
      <c r="M14" s="17"/>
      <c r="N14" s="17" t="str">
        <f aca="false">IF(OR(K14="",L14="",M14=""),"",K14+L14+M14)</f>
        <v/>
      </c>
      <c r="O14" s="17"/>
      <c r="P14" s="17"/>
      <c r="Q14" s="17"/>
      <c r="R14" s="17" t="str">
        <f aca="false">IF(OR(O14="",P14="",Q14=""),"",O14+P14+Q14)</f>
        <v/>
      </c>
      <c r="S14" s="17" t="n">
        <f aca="false">IF(COUNTA(E14:R14)=0,"",SUM(E14,F14,J14,N14,R14))</f>
        <v>0</v>
      </c>
      <c r="T14" s="17" t="str">
        <f aca="false">IF(S14="","",IF(S14&gt;=45,"A",IF(S14&gt;=35,"B",IF(S14&gt;=25,"C",IF(S14&gt;=15,"D","F")))))</f>
        <v>F</v>
      </c>
      <c r="U14" s="17" t="n">
        <f aca="false">IF(S14="","",RANK(S14,$S$3:$S$22,0))</f>
        <v>1</v>
      </c>
    </row>
    <row r="15" customFormat="false" ht="21.75" hidden="false" customHeight="true" outlineLevel="0" collapsed="false">
      <c r="A15" s="13" t="n">
        <v>13</v>
      </c>
      <c r="B15" s="14"/>
      <c r="C15" s="13"/>
      <c r="D15" s="15"/>
      <c r="E15" s="13"/>
      <c r="F15" s="13"/>
      <c r="G15" s="13"/>
      <c r="H15" s="13"/>
      <c r="I15" s="13"/>
      <c r="J15" s="13" t="str">
        <f aca="false">IF(OR(G15="",H15="",I15=""),"",G15+H15+I15)</f>
        <v/>
      </c>
      <c r="K15" s="13"/>
      <c r="L15" s="13"/>
      <c r="M15" s="13"/>
      <c r="N15" s="13" t="str">
        <f aca="false">IF(OR(K15="",L15="",M15=""),"",K15+L15+M15)</f>
        <v/>
      </c>
      <c r="O15" s="13"/>
      <c r="P15" s="13"/>
      <c r="Q15" s="13"/>
      <c r="R15" s="13" t="str">
        <f aca="false">IF(OR(O15="",P15="",Q15=""),"",O15+P15+Q15)</f>
        <v/>
      </c>
      <c r="S15" s="13" t="n">
        <f aca="false">IF(COUNTA(E15:R15)=0,"",SUM(E15,F15,J15,N15,R15))</f>
        <v>0</v>
      </c>
      <c r="T15" s="13" t="str">
        <f aca="false">IF(S15="","",IF(S15&gt;=45,"A",IF(S15&gt;=35,"B",IF(S15&gt;=25,"C",IF(S15&gt;=15,"D","F")))))</f>
        <v>F</v>
      </c>
      <c r="U15" s="13" t="n">
        <f aca="false">IF(S15="","",RANK(S15,$S$3:$S$22,0))</f>
        <v>1</v>
      </c>
    </row>
    <row r="16" customFormat="false" ht="21.75" hidden="false" customHeight="true" outlineLevel="0" collapsed="false">
      <c r="A16" s="13" t="n">
        <v>14</v>
      </c>
      <c r="B16" s="16"/>
      <c r="C16" s="17"/>
      <c r="D16" s="18"/>
      <c r="E16" s="17"/>
      <c r="F16" s="17"/>
      <c r="G16" s="17"/>
      <c r="H16" s="17"/>
      <c r="I16" s="17"/>
      <c r="J16" s="17" t="str">
        <f aca="false">IF(OR(G16="",H16="",I16=""),"",G16+H16+I16)</f>
        <v/>
      </c>
      <c r="K16" s="17"/>
      <c r="L16" s="17"/>
      <c r="M16" s="17"/>
      <c r="N16" s="17" t="str">
        <f aca="false">IF(OR(K16="",L16="",M16=""),"",K16+L16+M16)</f>
        <v/>
      </c>
      <c r="O16" s="17"/>
      <c r="P16" s="17"/>
      <c r="Q16" s="17"/>
      <c r="R16" s="17" t="str">
        <f aca="false">IF(OR(O16="",P16="",Q16=""),"",O16+P16+Q16)</f>
        <v/>
      </c>
      <c r="S16" s="17" t="n">
        <f aca="false">IF(COUNTA(E16:R16)=0,"",SUM(E16,F16,J16,N16,R16))</f>
        <v>0</v>
      </c>
      <c r="T16" s="17" t="str">
        <f aca="false">IF(S16="","",IF(S16&gt;=45,"A",IF(S16&gt;=35,"B",IF(S16&gt;=25,"C",IF(S16&gt;=15,"D","F")))))</f>
        <v>F</v>
      </c>
      <c r="U16" s="17" t="n">
        <f aca="false">IF(S16="","",RANK(S16,$S$3:$S$22,0))</f>
        <v>1</v>
      </c>
    </row>
    <row r="17" customFormat="false" ht="21.75" hidden="false" customHeight="true" outlineLevel="0" collapsed="false">
      <c r="A17" s="13" t="n">
        <v>15</v>
      </c>
      <c r="B17" s="14"/>
      <c r="C17" s="13"/>
      <c r="D17" s="15"/>
      <c r="E17" s="13"/>
      <c r="F17" s="13"/>
      <c r="G17" s="13"/>
      <c r="H17" s="13"/>
      <c r="I17" s="13"/>
      <c r="J17" s="13" t="str">
        <f aca="false">IF(OR(G17="",H17="",I17=""),"",G17+H17+I17)</f>
        <v/>
      </c>
      <c r="K17" s="13"/>
      <c r="L17" s="13"/>
      <c r="M17" s="13"/>
      <c r="N17" s="13" t="str">
        <f aca="false">IF(OR(K17="",L17="",M17=""),"",K17+L17+M17)</f>
        <v/>
      </c>
      <c r="O17" s="13"/>
      <c r="P17" s="13"/>
      <c r="Q17" s="13"/>
      <c r="R17" s="13" t="str">
        <f aca="false">IF(OR(O17="",P17="",Q17=""),"",O17+P17+Q17)</f>
        <v/>
      </c>
      <c r="S17" s="13" t="n">
        <f aca="false">IF(COUNTA(E17:R17)=0,"",SUM(E17,F17,J17,N17,R17))</f>
        <v>0</v>
      </c>
      <c r="T17" s="13" t="str">
        <f aca="false">IF(S17="","",IF(S17&gt;=45,"A",IF(S17&gt;=35,"B",IF(S17&gt;=25,"C",IF(S17&gt;=15,"D","F")))))</f>
        <v>F</v>
      </c>
      <c r="U17" s="13" t="n">
        <f aca="false">IF(S17="","",RANK(S17,$S$3:$S$22,0))</f>
        <v>1</v>
      </c>
    </row>
    <row r="18" customFormat="false" ht="21.75" hidden="false" customHeight="true" outlineLevel="0" collapsed="false">
      <c r="A18" s="13" t="n">
        <v>16</v>
      </c>
      <c r="B18" s="16"/>
      <c r="C18" s="17"/>
      <c r="D18" s="18"/>
      <c r="E18" s="17"/>
      <c r="F18" s="17"/>
      <c r="G18" s="17"/>
      <c r="H18" s="17"/>
      <c r="I18" s="17"/>
      <c r="J18" s="17" t="str">
        <f aca="false">IF(OR(G18="",H18="",I18=""),"",G18+H18+I18)</f>
        <v/>
      </c>
      <c r="K18" s="17"/>
      <c r="L18" s="17"/>
      <c r="M18" s="17"/>
      <c r="N18" s="17" t="str">
        <f aca="false">IF(OR(K18="",L18="",M18=""),"",K18+L18+M18)</f>
        <v/>
      </c>
      <c r="O18" s="17"/>
      <c r="P18" s="17"/>
      <c r="Q18" s="17"/>
      <c r="R18" s="17" t="str">
        <f aca="false">IF(OR(O18="",P18="",Q18=""),"",O18+P18+Q18)</f>
        <v/>
      </c>
      <c r="S18" s="17" t="n">
        <f aca="false">IF(COUNTA(E18:R18)=0,"",SUM(E18,F18,J18,N18,R18))</f>
        <v>0</v>
      </c>
      <c r="T18" s="17" t="str">
        <f aca="false">IF(S18="","",IF(S18&gt;=45,"A",IF(S18&gt;=35,"B",IF(S18&gt;=25,"C",IF(S18&gt;=15,"D","F")))))</f>
        <v>F</v>
      </c>
      <c r="U18" s="17" t="n">
        <f aca="false">IF(S18="","",RANK(S18,$S$3:$S$22,0))</f>
        <v>1</v>
      </c>
    </row>
    <row r="19" customFormat="false" ht="21.75" hidden="false" customHeight="true" outlineLevel="0" collapsed="false">
      <c r="A19" s="13" t="n">
        <v>17</v>
      </c>
      <c r="B19" s="14"/>
      <c r="C19" s="13"/>
      <c r="D19" s="15"/>
      <c r="E19" s="13"/>
      <c r="F19" s="13"/>
      <c r="G19" s="13"/>
      <c r="H19" s="13"/>
      <c r="I19" s="13"/>
      <c r="J19" s="13" t="str">
        <f aca="false">IF(OR(G19="",H19="",I19=""),"",G19+H19+I19)</f>
        <v/>
      </c>
      <c r="K19" s="13"/>
      <c r="L19" s="13"/>
      <c r="M19" s="13"/>
      <c r="N19" s="13" t="str">
        <f aca="false">IF(OR(K19="",L19="",M19=""),"",K19+L19+M19)</f>
        <v/>
      </c>
      <c r="O19" s="13"/>
      <c r="P19" s="13"/>
      <c r="Q19" s="13"/>
      <c r="R19" s="13" t="str">
        <f aca="false">IF(OR(O19="",P19="",Q19=""),"",O19+P19+Q19)</f>
        <v/>
      </c>
      <c r="S19" s="13" t="n">
        <f aca="false">IF(COUNTA(E19:R19)=0,"",SUM(E19,F19,J19,N19,R19))</f>
        <v>0</v>
      </c>
      <c r="T19" s="13" t="str">
        <f aca="false">IF(S19="","",IF(S19&gt;=45,"A",IF(S19&gt;=35,"B",IF(S19&gt;=25,"C",IF(S19&gt;=15,"D","F")))))</f>
        <v>F</v>
      </c>
      <c r="U19" s="13" t="n">
        <f aca="false">IF(S19="","",RANK(S19,$S$3:$S$22,0))</f>
        <v>1</v>
      </c>
    </row>
    <row r="20" customFormat="false" ht="21.75" hidden="false" customHeight="true" outlineLevel="0" collapsed="false">
      <c r="A20" s="13" t="n">
        <v>18</v>
      </c>
      <c r="B20" s="16"/>
      <c r="C20" s="17"/>
      <c r="D20" s="18"/>
      <c r="E20" s="17"/>
      <c r="F20" s="17"/>
      <c r="G20" s="17"/>
      <c r="H20" s="17"/>
      <c r="I20" s="17"/>
      <c r="J20" s="17" t="str">
        <f aca="false">IF(OR(G20="",H20="",I20=""),"",G20+H20+I20)</f>
        <v/>
      </c>
      <c r="K20" s="17"/>
      <c r="L20" s="17"/>
      <c r="M20" s="17"/>
      <c r="N20" s="17" t="str">
        <f aca="false">IF(OR(K20="",L20="",M20=""),"",K20+L20+M20)</f>
        <v/>
      </c>
      <c r="O20" s="17"/>
      <c r="P20" s="17"/>
      <c r="Q20" s="17"/>
      <c r="R20" s="17" t="str">
        <f aca="false">IF(OR(O20="",P20="",Q20=""),"",O20+P20+Q20)</f>
        <v/>
      </c>
      <c r="S20" s="17" t="n">
        <f aca="false">IF(COUNTA(E20:R20)=0,"",SUM(E20,F20,J20,N20,R20))</f>
        <v>0</v>
      </c>
      <c r="T20" s="17" t="str">
        <f aca="false">IF(S20="","",IF(S20&gt;=45,"A",IF(S20&gt;=35,"B",IF(S20&gt;=25,"C",IF(S20&gt;=15,"D","F")))))</f>
        <v>F</v>
      </c>
      <c r="U20" s="17" t="n">
        <f aca="false">IF(S20="","",RANK(S20,$S$3:$S$22,0))</f>
        <v>1</v>
      </c>
    </row>
    <row r="21" customFormat="false" ht="21.75" hidden="false" customHeight="true" outlineLevel="0" collapsed="false">
      <c r="A21" s="13" t="n">
        <v>19</v>
      </c>
      <c r="B21" s="14"/>
      <c r="C21" s="13"/>
      <c r="D21" s="15"/>
      <c r="E21" s="13"/>
      <c r="F21" s="13"/>
      <c r="G21" s="13"/>
      <c r="H21" s="13"/>
      <c r="I21" s="13"/>
      <c r="J21" s="13" t="str">
        <f aca="false">IF(OR(G21="",H21="",I21=""),"",G21+H21+I21)</f>
        <v/>
      </c>
      <c r="K21" s="13"/>
      <c r="L21" s="13"/>
      <c r="M21" s="13"/>
      <c r="N21" s="13" t="str">
        <f aca="false">IF(OR(K21="",L21="",M21=""),"",K21+L21+M21)</f>
        <v/>
      </c>
      <c r="O21" s="13"/>
      <c r="P21" s="13"/>
      <c r="Q21" s="13"/>
      <c r="R21" s="13" t="str">
        <f aca="false">IF(OR(O21="",P21="",Q21=""),"",O21+P21+Q21)</f>
        <v/>
      </c>
      <c r="S21" s="13" t="n">
        <f aca="false">IF(COUNTA(E21:R21)=0,"",SUM(E21,F21,J21,N21,R21))</f>
        <v>0</v>
      </c>
      <c r="T21" s="13" t="str">
        <f aca="false">IF(S21="","",IF(S21&gt;=45,"A",IF(S21&gt;=35,"B",IF(S21&gt;=25,"C",IF(S21&gt;=15,"D","F")))))</f>
        <v>F</v>
      </c>
      <c r="U21" s="13" t="n">
        <f aca="false">IF(S21="","",RANK(S21,$S$3:$S$22,0))</f>
        <v>1</v>
      </c>
    </row>
    <row r="22" customFormat="false" ht="21.75" hidden="false" customHeight="true" outlineLevel="0" collapsed="false">
      <c r="A22" s="13" t="n">
        <v>20</v>
      </c>
      <c r="B22" s="16"/>
      <c r="C22" s="17"/>
      <c r="D22" s="18"/>
      <c r="E22" s="17"/>
      <c r="F22" s="17"/>
      <c r="G22" s="17"/>
      <c r="H22" s="17"/>
      <c r="I22" s="17"/>
      <c r="J22" s="17" t="str">
        <f aca="false">IF(OR(G22="",H22="",I22=""),"",G22+H22+I22)</f>
        <v/>
      </c>
      <c r="K22" s="17"/>
      <c r="L22" s="17"/>
      <c r="M22" s="17"/>
      <c r="N22" s="17" t="str">
        <f aca="false">IF(OR(K22="",L22="",M22=""),"",K22+L22+M22)</f>
        <v/>
      </c>
      <c r="O22" s="17"/>
      <c r="P22" s="17"/>
      <c r="Q22" s="17"/>
      <c r="R22" s="17" t="str">
        <f aca="false">IF(OR(O22="",P22="",Q22=""),"",O22+P22+Q22)</f>
        <v/>
      </c>
      <c r="S22" s="17" t="n">
        <f aca="false">IF(COUNTA(E22:R22)=0,"",SUM(E22,F22,J22,N22,R22))</f>
        <v>0</v>
      </c>
      <c r="T22" s="17" t="str">
        <f aca="false">IF(S22="","",IF(S22&gt;=45,"A",IF(S22&gt;=35,"B",IF(S22&gt;=25,"C",IF(S22&gt;=15,"D","F")))))</f>
        <v>F</v>
      </c>
      <c r="U22" s="17" t="n">
        <f aca="false">IF(S22="","",RANK(S22,$S$3:$S$22,0))</f>
        <v>1</v>
      </c>
    </row>
  </sheetData>
  <mergeCells count="7">
    <mergeCell ref="A1:A2"/>
    <mergeCell ref="B1:B2"/>
    <mergeCell ref="C1:C2"/>
    <mergeCell ref="D1:D2"/>
    <mergeCell ref="G1:J1"/>
    <mergeCell ref="K1:N1"/>
    <mergeCell ref="O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9" min="4" style="0" width="10"/>
    <col collapsed="false" customWidth="true" hidden="false" outlineLevel="0" max="10" min="10" style="0" width="8"/>
    <col collapsed="false" customWidth="true" hidden="false" outlineLevel="0" max="13" min="11" style="0" width="10"/>
    <col collapsed="false" customWidth="true" hidden="false" outlineLevel="0" max="14" min="14" style="0" width="8"/>
    <col collapsed="false" customWidth="true" hidden="false" outlineLevel="0" max="17" min="15" style="0" width="10"/>
    <col collapsed="false" customWidth="true" hidden="false" outlineLevel="0" max="19" min="18" style="0" width="8"/>
    <col collapsed="false" customWidth="true" hidden="false" outlineLevel="0" max="21" min="20" style="0" width="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 t="s">
        <v>7</v>
      </c>
      <c r="L1" s="2"/>
      <c r="M1" s="2"/>
      <c r="N1" s="2"/>
      <c r="O1" s="2" t="s">
        <v>8</v>
      </c>
      <c r="P1" s="2"/>
      <c r="Q1" s="2"/>
      <c r="R1" s="2"/>
      <c r="S1" s="1" t="s">
        <v>9</v>
      </c>
      <c r="T1" s="1" t="s">
        <v>10</v>
      </c>
      <c r="U1" s="1" t="s">
        <v>11</v>
      </c>
    </row>
    <row r="2" customFormat="false" ht="39.75" hidden="false" customHeight="true" outlineLevel="0" collapsed="false">
      <c r="A2" s="1"/>
      <c r="B2" s="1"/>
      <c r="C2" s="1"/>
      <c r="D2" s="1"/>
      <c r="E2" s="3" t="s">
        <v>12</v>
      </c>
      <c r="F2" s="4" t="s">
        <v>12</v>
      </c>
      <c r="G2" s="5" t="s">
        <v>13</v>
      </c>
      <c r="H2" s="5" t="s">
        <v>14</v>
      </c>
      <c r="I2" s="5" t="s">
        <v>15</v>
      </c>
      <c r="J2" s="6" t="s">
        <v>16</v>
      </c>
      <c r="K2" s="7" t="s">
        <v>17</v>
      </c>
      <c r="L2" s="7" t="s">
        <v>18</v>
      </c>
      <c r="M2" s="7" t="s">
        <v>15</v>
      </c>
      <c r="N2" s="8" t="s">
        <v>16</v>
      </c>
      <c r="O2" s="9" t="s">
        <v>19</v>
      </c>
      <c r="P2" s="9" t="s">
        <v>20</v>
      </c>
      <c r="Q2" s="9" t="s">
        <v>15</v>
      </c>
      <c r="R2" s="10" t="s">
        <v>16</v>
      </c>
      <c r="S2" s="11" t="s">
        <v>21</v>
      </c>
      <c r="T2" s="11"/>
      <c r="U2" s="12"/>
    </row>
    <row r="3" customFormat="false" ht="21.75" hidden="false" customHeight="true" outlineLevel="0" collapsed="false">
      <c r="A3" s="13" t="n">
        <v>1</v>
      </c>
      <c r="B3" s="14"/>
      <c r="C3" s="13"/>
      <c r="D3" s="15"/>
      <c r="E3" s="13"/>
      <c r="F3" s="13"/>
      <c r="G3" s="13"/>
      <c r="H3" s="13"/>
      <c r="I3" s="13"/>
      <c r="J3" s="13" t="str">
        <f aca="false">IF(OR(G3="",H3="",I3=""),"",G3+H3+I3)</f>
        <v/>
      </c>
      <c r="K3" s="13"/>
      <c r="L3" s="13"/>
      <c r="M3" s="13"/>
      <c r="N3" s="13" t="str">
        <f aca="false">IF(OR(K3="",L3="",M3=""),"",K3+L3+M3)</f>
        <v/>
      </c>
      <c r="O3" s="13"/>
      <c r="P3" s="13"/>
      <c r="Q3" s="13"/>
      <c r="R3" s="13" t="str">
        <f aca="false">IF(OR(O3="",P3="",Q3=""),"",O3+P3+Q3)</f>
        <v/>
      </c>
      <c r="S3" s="13" t="n">
        <f aca="false">IF(COUNTA(E3:R3)=0,"",SUM(E3,F3,J3,N3,R3))</f>
        <v>0</v>
      </c>
      <c r="T3" s="13" t="str">
        <f aca="false">IF(S3="","",IF(S3&gt;=45,"A",IF(S3&gt;=35,"B",IF(S3&gt;=25,"C",IF(S3&gt;=15,"D","F")))))</f>
        <v>F</v>
      </c>
      <c r="U3" s="13" t="n">
        <f aca="false">IF(S3="","",RANK(S3,$S$3:$S$22,0))</f>
        <v>1</v>
      </c>
    </row>
    <row r="4" customFormat="false" ht="21.75" hidden="false" customHeight="true" outlineLevel="0" collapsed="false">
      <c r="A4" s="13" t="n">
        <v>2</v>
      </c>
      <c r="B4" s="16"/>
      <c r="C4" s="17"/>
      <c r="D4" s="18"/>
      <c r="E4" s="17"/>
      <c r="F4" s="17"/>
      <c r="G4" s="17"/>
      <c r="H4" s="17"/>
      <c r="I4" s="17"/>
      <c r="J4" s="17" t="str">
        <f aca="false">IF(OR(G4="",H4="",I4=""),"",G4+H4+I4)</f>
        <v/>
      </c>
      <c r="K4" s="17"/>
      <c r="L4" s="17"/>
      <c r="M4" s="17"/>
      <c r="N4" s="17" t="str">
        <f aca="false">IF(OR(K4="",L4="",M4=""),"",K4+L4+M4)</f>
        <v/>
      </c>
      <c r="O4" s="17"/>
      <c r="P4" s="17"/>
      <c r="Q4" s="17"/>
      <c r="R4" s="17" t="str">
        <f aca="false">IF(OR(O4="",P4="",Q4=""),"",O4+P4+Q4)</f>
        <v/>
      </c>
      <c r="S4" s="17" t="n">
        <f aca="false">IF(COUNTA(E4:R4)=0,"",SUM(E4,F4,J4,N4,R4))</f>
        <v>0</v>
      </c>
      <c r="T4" s="17" t="str">
        <f aca="false">IF(S4="","",IF(S4&gt;=45,"A",IF(S4&gt;=35,"B",IF(S4&gt;=25,"C",IF(S4&gt;=15,"D","F")))))</f>
        <v>F</v>
      </c>
      <c r="U4" s="17" t="n">
        <f aca="false">IF(S4="","",RANK(S4,$S$3:$S$22,0))</f>
        <v>1</v>
      </c>
    </row>
    <row r="5" customFormat="false" ht="21.75" hidden="false" customHeight="true" outlineLevel="0" collapsed="false">
      <c r="A5" s="13" t="n">
        <v>3</v>
      </c>
      <c r="B5" s="14"/>
      <c r="C5" s="13"/>
      <c r="D5" s="15"/>
      <c r="E5" s="13"/>
      <c r="F5" s="13"/>
      <c r="G5" s="13"/>
      <c r="H5" s="13"/>
      <c r="I5" s="13"/>
      <c r="J5" s="13" t="str">
        <f aca="false">IF(OR(G5="",H5="",I5=""),"",G5+H5+I5)</f>
        <v/>
      </c>
      <c r="K5" s="13"/>
      <c r="L5" s="13"/>
      <c r="M5" s="13"/>
      <c r="N5" s="13" t="str">
        <f aca="false">IF(OR(K5="",L5="",M5=""),"",K5+L5+M5)</f>
        <v/>
      </c>
      <c r="O5" s="13"/>
      <c r="P5" s="13"/>
      <c r="Q5" s="13"/>
      <c r="R5" s="13" t="str">
        <f aca="false">IF(OR(O5="",P5="",Q5=""),"",O5+P5+Q5)</f>
        <v/>
      </c>
      <c r="S5" s="13" t="n">
        <f aca="false">IF(COUNTA(E5:R5)=0,"",SUM(E5,F5,J5,N5,R5))</f>
        <v>0</v>
      </c>
      <c r="T5" s="13" t="str">
        <f aca="false">IF(S5="","",IF(S5&gt;=45,"A",IF(S5&gt;=35,"B",IF(S5&gt;=25,"C",IF(S5&gt;=15,"D","F")))))</f>
        <v>F</v>
      </c>
      <c r="U5" s="13" t="n">
        <f aca="false">IF(S5="","",RANK(S5,$S$3:$S$22,0))</f>
        <v>1</v>
      </c>
    </row>
    <row r="6" customFormat="false" ht="21.75" hidden="false" customHeight="true" outlineLevel="0" collapsed="false">
      <c r="A6" s="13" t="n">
        <v>4</v>
      </c>
      <c r="B6" s="16"/>
      <c r="C6" s="17"/>
      <c r="D6" s="18"/>
      <c r="E6" s="17"/>
      <c r="F6" s="17"/>
      <c r="G6" s="17"/>
      <c r="H6" s="17"/>
      <c r="I6" s="17"/>
      <c r="J6" s="17" t="str">
        <f aca="false">IF(OR(G6="",H6="",I6=""),"",G6+H6+I6)</f>
        <v/>
      </c>
      <c r="K6" s="17"/>
      <c r="L6" s="17"/>
      <c r="M6" s="17"/>
      <c r="N6" s="17" t="str">
        <f aca="false">IF(OR(K6="",L6="",M6=""),"",K6+L6+M6)</f>
        <v/>
      </c>
      <c r="O6" s="17"/>
      <c r="P6" s="17"/>
      <c r="Q6" s="17"/>
      <c r="R6" s="17" t="str">
        <f aca="false">IF(OR(O6="",P6="",Q6=""),"",O6+P6+Q6)</f>
        <v/>
      </c>
      <c r="S6" s="17" t="n">
        <f aca="false">IF(COUNTA(E6:R6)=0,"",SUM(E6,F6,J6,N6,R6))</f>
        <v>0</v>
      </c>
      <c r="T6" s="17" t="str">
        <f aca="false">IF(S6="","",IF(S6&gt;=45,"A",IF(S6&gt;=35,"B",IF(S6&gt;=25,"C",IF(S6&gt;=15,"D","F")))))</f>
        <v>F</v>
      </c>
      <c r="U6" s="17" t="n">
        <f aca="false">IF(S6="","",RANK(S6,$S$3:$S$22,0))</f>
        <v>1</v>
      </c>
    </row>
    <row r="7" customFormat="false" ht="21.75" hidden="false" customHeight="true" outlineLevel="0" collapsed="false">
      <c r="A7" s="13" t="n">
        <v>5</v>
      </c>
      <c r="B7" s="14"/>
      <c r="C7" s="13"/>
      <c r="D7" s="15"/>
      <c r="E7" s="13"/>
      <c r="F7" s="13"/>
      <c r="G7" s="13"/>
      <c r="H7" s="13"/>
      <c r="I7" s="13"/>
      <c r="J7" s="13" t="str">
        <f aca="false">IF(OR(G7="",H7="",I7=""),"",G7+H7+I7)</f>
        <v/>
      </c>
      <c r="K7" s="13"/>
      <c r="L7" s="13"/>
      <c r="M7" s="13"/>
      <c r="N7" s="13" t="str">
        <f aca="false">IF(OR(K7="",L7="",M7=""),"",K7+L7+M7)</f>
        <v/>
      </c>
      <c r="O7" s="13"/>
      <c r="P7" s="13"/>
      <c r="Q7" s="13"/>
      <c r="R7" s="13" t="str">
        <f aca="false">IF(OR(O7="",P7="",Q7=""),"",O7+P7+Q7)</f>
        <v/>
      </c>
      <c r="S7" s="13" t="n">
        <f aca="false">IF(COUNTA(E7:R7)=0,"",SUM(E7,F7,J7,N7,R7))</f>
        <v>0</v>
      </c>
      <c r="T7" s="13" t="str">
        <f aca="false">IF(S7="","",IF(S7&gt;=45,"A",IF(S7&gt;=35,"B",IF(S7&gt;=25,"C",IF(S7&gt;=15,"D","F")))))</f>
        <v>F</v>
      </c>
      <c r="U7" s="13" t="n">
        <f aca="false">IF(S7="","",RANK(S7,$S$3:$S$22,0))</f>
        <v>1</v>
      </c>
    </row>
    <row r="8" customFormat="false" ht="21.75" hidden="false" customHeight="true" outlineLevel="0" collapsed="false">
      <c r="A8" s="13" t="n">
        <v>6</v>
      </c>
      <c r="B8" s="16"/>
      <c r="C8" s="17"/>
      <c r="D8" s="18"/>
      <c r="E8" s="17"/>
      <c r="F8" s="17"/>
      <c r="G8" s="17"/>
      <c r="H8" s="17"/>
      <c r="I8" s="17"/>
      <c r="J8" s="17" t="str">
        <f aca="false">IF(OR(G8="",H8="",I8=""),"",G8+H8+I8)</f>
        <v/>
      </c>
      <c r="K8" s="17"/>
      <c r="L8" s="17"/>
      <c r="M8" s="17"/>
      <c r="N8" s="17" t="str">
        <f aca="false">IF(OR(K8="",L8="",M8=""),"",K8+L8+M8)</f>
        <v/>
      </c>
      <c r="O8" s="17"/>
      <c r="P8" s="17"/>
      <c r="Q8" s="17"/>
      <c r="R8" s="17" t="str">
        <f aca="false">IF(OR(O8="",P8="",Q8=""),"",O8+P8+Q8)</f>
        <v/>
      </c>
      <c r="S8" s="17" t="n">
        <f aca="false">IF(COUNTA(E8:R8)=0,"",SUM(E8,F8,J8,N8,R8))</f>
        <v>0</v>
      </c>
      <c r="T8" s="17" t="str">
        <f aca="false">IF(S8="","",IF(S8&gt;=45,"A",IF(S8&gt;=35,"B",IF(S8&gt;=25,"C",IF(S8&gt;=15,"D","F")))))</f>
        <v>F</v>
      </c>
      <c r="U8" s="17" t="n">
        <f aca="false">IF(S8="","",RANK(S8,$S$3:$S$22,0))</f>
        <v>1</v>
      </c>
    </row>
    <row r="9" customFormat="false" ht="21.75" hidden="false" customHeight="true" outlineLevel="0" collapsed="false">
      <c r="A9" s="13" t="n">
        <v>7</v>
      </c>
      <c r="B9" s="14"/>
      <c r="C9" s="13"/>
      <c r="D9" s="15"/>
      <c r="E9" s="13"/>
      <c r="F9" s="13"/>
      <c r="G9" s="13"/>
      <c r="H9" s="13"/>
      <c r="I9" s="13"/>
      <c r="J9" s="13" t="str">
        <f aca="false">IF(OR(G9="",H9="",I9=""),"",G9+H9+I9)</f>
        <v/>
      </c>
      <c r="K9" s="13"/>
      <c r="L9" s="13"/>
      <c r="M9" s="13"/>
      <c r="N9" s="13" t="str">
        <f aca="false">IF(OR(K9="",L9="",M9=""),"",K9+L9+M9)</f>
        <v/>
      </c>
      <c r="O9" s="13"/>
      <c r="P9" s="13"/>
      <c r="Q9" s="13"/>
      <c r="R9" s="13" t="str">
        <f aca="false">IF(OR(O9="",P9="",Q9=""),"",O9+P9+Q9)</f>
        <v/>
      </c>
      <c r="S9" s="13" t="n">
        <f aca="false">IF(COUNTA(E9:R9)=0,"",SUM(E9,F9,J9,N9,R9))</f>
        <v>0</v>
      </c>
      <c r="T9" s="13" t="str">
        <f aca="false">IF(S9="","",IF(S9&gt;=45,"A",IF(S9&gt;=35,"B",IF(S9&gt;=25,"C",IF(S9&gt;=15,"D","F")))))</f>
        <v>F</v>
      </c>
      <c r="U9" s="13" t="n">
        <f aca="false">IF(S9="","",RANK(S9,$S$3:$S$22,0))</f>
        <v>1</v>
      </c>
    </row>
    <row r="10" customFormat="false" ht="21.75" hidden="false" customHeight="true" outlineLevel="0" collapsed="false">
      <c r="A10" s="13" t="n">
        <v>8</v>
      </c>
      <c r="B10" s="16"/>
      <c r="C10" s="17"/>
      <c r="D10" s="18"/>
      <c r="E10" s="17"/>
      <c r="F10" s="17"/>
      <c r="G10" s="17"/>
      <c r="H10" s="17"/>
      <c r="I10" s="17"/>
      <c r="J10" s="17" t="str">
        <f aca="false">IF(OR(G10="",H10="",I10=""),"",G10+H10+I10)</f>
        <v/>
      </c>
      <c r="K10" s="17"/>
      <c r="L10" s="17"/>
      <c r="M10" s="17"/>
      <c r="N10" s="17" t="str">
        <f aca="false">IF(OR(K10="",L10="",M10=""),"",K10+L10+M10)</f>
        <v/>
      </c>
      <c r="O10" s="17"/>
      <c r="P10" s="17"/>
      <c r="Q10" s="17"/>
      <c r="R10" s="17" t="str">
        <f aca="false">IF(OR(O10="",P10="",Q10=""),"",O10+P10+Q10)</f>
        <v/>
      </c>
      <c r="S10" s="17" t="n">
        <f aca="false">IF(COUNTA(E10:R10)=0,"",SUM(E10,F10,J10,N10,R10))</f>
        <v>0</v>
      </c>
      <c r="T10" s="17" t="str">
        <f aca="false">IF(S10="","",IF(S10&gt;=45,"A",IF(S10&gt;=35,"B",IF(S10&gt;=25,"C",IF(S10&gt;=15,"D","F")))))</f>
        <v>F</v>
      </c>
      <c r="U10" s="17" t="n">
        <f aca="false">IF(S10="","",RANK(S10,$S$3:$S$22,0))</f>
        <v>1</v>
      </c>
    </row>
    <row r="11" customFormat="false" ht="21.75" hidden="false" customHeight="true" outlineLevel="0" collapsed="false">
      <c r="A11" s="13" t="n">
        <v>9</v>
      </c>
      <c r="B11" s="14"/>
      <c r="C11" s="13"/>
      <c r="D11" s="15"/>
      <c r="E11" s="13"/>
      <c r="F11" s="13"/>
      <c r="G11" s="13"/>
      <c r="H11" s="13"/>
      <c r="I11" s="13"/>
      <c r="J11" s="13" t="str">
        <f aca="false">IF(OR(G11="",H11="",I11=""),"",G11+H11+I11)</f>
        <v/>
      </c>
      <c r="K11" s="13"/>
      <c r="L11" s="13"/>
      <c r="M11" s="13"/>
      <c r="N11" s="13" t="str">
        <f aca="false">IF(OR(K11="",L11="",M11=""),"",K11+L11+M11)</f>
        <v/>
      </c>
      <c r="O11" s="13"/>
      <c r="P11" s="13"/>
      <c r="Q11" s="13"/>
      <c r="R11" s="13" t="str">
        <f aca="false">IF(OR(O11="",P11="",Q11=""),"",O11+P11+Q11)</f>
        <v/>
      </c>
      <c r="S11" s="13" t="n">
        <f aca="false">IF(COUNTA(E11:R11)=0,"",SUM(E11,F11,J11,N11,R11))</f>
        <v>0</v>
      </c>
      <c r="T11" s="13" t="str">
        <f aca="false">IF(S11="","",IF(S11&gt;=45,"A",IF(S11&gt;=35,"B",IF(S11&gt;=25,"C",IF(S11&gt;=15,"D","F")))))</f>
        <v>F</v>
      </c>
      <c r="U11" s="13" t="n">
        <f aca="false">IF(S11="","",RANK(S11,$S$3:$S$22,0))</f>
        <v>1</v>
      </c>
    </row>
    <row r="12" customFormat="false" ht="21.75" hidden="false" customHeight="true" outlineLevel="0" collapsed="false">
      <c r="A12" s="13" t="n">
        <v>10</v>
      </c>
      <c r="B12" s="16"/>
      <c r="C12" s="17"/>
      <c r="D12" s="18"/>
      <c r="E12" s="17"/>
      <c r="F12" s="17"/>
      <c r="G12" s="17"/>
      <c r="H12" s="17"/>
      <c r="I12" s="17"/>
      <c r="J12" s="17" t="str">
        <f aca="false">IF(OR(G12="",H12="",I12=""),"",G12+H12+I12)</f>
        <v/>
      </c>
      <c r="K12" s="17"/>
      <c r="L12" s="17"/>
      <c r="M12" s="17"/>
      <c r="N12" s="17" t="str">
        <f aca="false">IF(OR(K12="",L12="",M12=""),"",K12+L12+M12)</f>
        <v/>
      </c>
      <c r="O12" s="17"/>
      <c r="P12" s="17"/>
      <c r="Q12" s="17"/>
      <c r="R12" s="17" t="str">
        <f aca="false">IF(OR(O12="",P12="",Q12=""),"",O12+P12+Q12)</f>
        <v/>
      </c>
      <c r="S12" s="17" t="n">
        <f aca="false">IF(COUNTA(E12:R12)=0,"",SUM(E12,F12,J12,N12,R12))</f>
        <v>0</v>
      </c>
      <c r="T12" s="17" t="str">
        <f aca="false">IF(S12="","",IF(S12&gt;=45,"A",IF(S12&gt;=35,"B",IF(S12&gt;=25,"C",IF(S12&gt;=15,"D","F")))))</f>
        <v>F</v>
      </c>
      <c r="U12" s="17" t="n">
        <f aca="false">IF(S12="","",RANK(S12,$S$3:$S$22,0))</f>
        <v>1</v>
      </c>
    </row>
    <row r="13" customFormat="false" ht="21.75" hidden="false" customHeight="true" outlineLevel="0" collapsed="false">
      <c r="A13" s="13" t="n">
        <v>11</v>
      </c>
      <c r="B13" s="14"/>
      <c r="C13" s="13"/>
      <c r="D13" s="15"/>
      <c r="E13" s="13"/>
      <c r="F13" s="13"/>
      <c r="G13" s="13"/>
      <c r="H13" s="13"/>
      <c r="I13" s="13"/>
      <c r="J13" s="13" t="str">
        <f aca="false">IF(OR(G13="",H13="",I13=""),"",G13+H13+I13)</f>
        <v/>
      </c>
      <c r="K13" s="13"/>
      <c r="L13" s="13"/>
      <c r="M13" s="13"/>
      <c r="N13" s="13" t="str">
        <f aca="false">IF(OR(K13="",L13="",M13=""),"",K13+L13+M13)</f>
        <v/>
      </c>
      <c r="O13" s="13"/>
      <c r="P13" s="13"/>
      <c r="Q13" s="13"/>
      <c r="R13" s="13" t="str">
        <f aca="false">IF(OR(O13="",P13="",Q13=""),"",O13+P13+Q13)</f>
        <v/>
      </c>
      <c r="S13" s="13" t="n">
        <f aca="false">IF(COUNTA(E13:R13)=0,"",SUM(E13,F13,J13,N13,R13))</f>
        <v>0</v>
      </c>
      <c r="T13" s="13" t="str">
        <f aca="false">IF(S13="","",IF(S13&gt;=45,"A",IF(S13&gt;=35,"B",IF(S13&gt;=25,"C",IF(S13&gt;=15,"D","F")))))</f>
        <v>F</v>
      </c>
      <c r="U13" s="13" t="n">
        <f aca="false">IF(S13="","",RANK(S13,$S$3:$S$22,0))</f>
        <v>1</v>
      </c>
    </row>
    <row r="14" customFormat="false" ht="21.75" hidden="false" customHeight="true" outlineLevel="0" collapsed="false">
      <c r="A14" s="13" t="n">
        <v>12</v>
      </c>
      <c r="B14" s="16"/>
      <c r="C14" s="17"/>
      <c r="D14" s="18"/>
      <c r="E14" s="17"/>
      <c r="F14" s="17"/>
      <c r="G14" s="17"/>
      <c r="H14" s="17"/>
      <c r="I14" s="17"/>
      <c r="J14" s="17" t="str">
        <f aca="false">IF(OR(G14="",H14="",I14=""),"",G14+H14+I14)</f>
        <v/>
      </c>
      <c r="K14" s="17"/>
      <c r="L14" s="17"/>
      <c r="M14" s="17"/>
      <c r="N14" s="17" t="str">
        <f aca="false">IF(OR(K14="",L14="",M14=""),"",K14+L14+M14)</f>
        <v/>
      </c>
      <c r="O14" s="17"/>
      <c r="P14" s="17"/>
      <c r="Q14" s="17"/>
      <c r="R14" s="17" t="str">
        <f aca="false">IF(OR(O14="",P14="",Q14=""),"",O14+P14+Q14)</f>
        <v/>
      </c>
      <c r="S14" s="17" t="n">
        <f aca="false">IF(COUNTA(E14:R14)=0,"",SUM(E14,F14,J14,N14,R14))</f>
        <v>0</v>
      </c>
      <c r="T14" s="17" t="str">
        <f aca="false">IF(S14="","",IF(S14&gt;=45,"A",IF(S14&gt;=35,"B",IF(S14&gt;=25,"C",IF(S14&gt;=15,"D","F")))))</f>
        <v>F</v>
      </c>
      <c r="U14" s="17" t="n">
        <f aca="false">IF(S14="","",RANK(S14,$S$3:$S$22,0))</f>
        <v>1</v>
      </c>
    </row>
    <row r="15" customFormat="false" ht="21.75" hidden="false" customHeight="true" outlineLevel="0" collapsed="false">
      <c r="A15" s="13" t="n">
        <v>13</v>
      </c>
      <c r="B15" s="14"/>
      <c r="C15" s="13"/>
      <c r="D15" s="15"/>
      <c r="E15" s="13"/>
      <c r="F15" s="13"/>
      <c r="G15" s="13"/>
      <c r="H15" s="13"/>
      <c r="I15" s="13"/>
      <c r="J15" s="13" t="str">
        <f aca="false">IF(OR(G15="",H15="",I15=""),"",G15+H15+I15)</f>
        <v/>
      </c>
      <c r="K15" s="13"/>
      <c r="L15" s="13"/>
      <c r="M15" s="13"/>
      <c r="N15" s="13" t="str">
        <f aca="false">IF(OR(K15="",L15="",M15=""),"",K15+L15+M15)</f>
        <v/>
      </c>
      <c r="O15" s="13"/>
      <c r="P15" s="13"/>
      <c r="Q15" s="13"/>
      <c r="R15" s="13" t="str">
        <f aca="false">IF(OR(O15="",P15="",Q15=""),"",O15+P15+Q15)</f>
        <v/>
      </c>
      <c r="S15" s="13" t="n">
        <f aca="false">IF(COUNTA(E15:R15)=0,"",SUM(E15,F15,J15,N15,R15))</f>
        <v>0</v>
      </c>
      <c r="T15" s="13" t="str">
        <f aca="false">IF(S15="","",IF(S15&gt;=45,"A",IF(S15&gt;=35,"B",IF(S15&gt;=25,"C",IF(S15&gt;=15,"D","F")))))</f>
        <v>F</v>
      </c>
      <c r="U15" s="13" t="n">
        <f aca="false">IF(S15="","",RANK(S15,$S$3:$S$22,0))</f>
        <v>1</v>
      </c>
    </row>
    <row r="16" customFormat="false" ht="21.75" hidden="false" customHeight="true" outlineLevel="0" collapsed="false">
      <c r="A16" s="13" t="n">
        <v>14</v>
      </c>
      <c r="B16" s="16"/>
      <c r="C16" s="17"/>
      <c r="D16" s="18"/>
      <c r="E16" s="17"/>
      <c r="F16" s="17"/>
      <c r="G16" s="17"/>
      <c r="H16" s="17"/>
      <c r="I16" s="17"/>
      <c r="J16" s="17" t="str">
        <f aca="false">IF(OR(G16="",H16="",I16=""),"",G16+H16+I16)</f>
        <v/>
      </c>
      <c r="K16" s="17"/>
      <c r="L16" s="17"/>
      <c r="M16" s="17"/>
      <c r="N16" s="17" t="str">
        <f aca="false">IF(OR(K16="",L16="",M16=""),"",K16+L16+M16)</f>
        <v/>
      </c>
      <c r="O16" s="17"/>
      <c r="P16" s="17"/>
      <c r="Q16" s="17"/>
      <c r="R16" s="17" t="str">
        <f aca="false">IF(OR(O16="",P16="",Q16=""),"",O16+P16+Q16)</f>
        <v/>
      </c>
      <c r="S16" s="17" t="n">
        <f aca="false">IF(COUNTA(E16:R16)=0,"",SUM(E16,F16,J16,N16,R16))</f>
        <v>0</v>
      </c>
      <c r="T16" s="17" t="str">
        <f aca="false">IF(S16="","",IF(S16&gt;=45,"A",IF(S16&gt;=35,"B",IF(S16&gt;=25,"C",IF(S16&gt;=15,"D","F")))))</f>
        <v>F</v>
      </c>
      <c r="U16" s="17" t="n">
        <f aca="false">IF(S16="","",RANK(S16,$S$3:$S$22,0))</f>
        <v>1</v>
      </c>
    </row>
    <row r="17" customFormat="false" ht="21.75" hidden="false" customHeight="true" outlineLevel="0" collapsed="false">
      <c r="A17" s="13" t="n">
        <v>15</v>
      </c>
      <c r="B17" s="14"/>
      <c r="C17" s="13"/>
      <c r="D17" s="15"/>
      <c r="E17" s="13"/>
      <c r="F17" s="13"/>
      <c r="G17" s="13"/>
      <c r="H17" s="13"/>
      <c r="I17" s="13"/>
      <c r="J17" s="13" t="str">
        <f aca="false">IF(OR(G17="",H17="",I17=""),"",G17+H17+I17)</f>
        <v/>
      </c>
      <c r="K17" s="13"/>
      <c r="L17" s="13"/>
      <c r="M17" s="13"/>
      <c r="N17" s="13" t="str">
        <f aca="false">IF(OR(K17="",L17="",M17=""),"",K17+L17+M17)</f>
        <v/>
      </c>
      <c r="O17" s="13"/>
      <c r="P17" s="13"/>
      <c r="Q17" s="13"/>
      <c r="R17" s="13" t="str">
        <f aca="false">IF(OR(O17="",P17="",Q17=""),"",O17+P17+Q17)</f>
        <v/>
      </c>
      <c r="S17" s="13" t="n">
        <f aca="false">IF(COUNTA(E17:R17)=0,"",SUM(E17,F17,J17,N17,R17))</f>
        <v>0</v>
      </c>
      <c r="T17" s="13" t="str">
        <f aca="false">IF(S17="","",IF(S17&gt;=45,"A",IF(S17&gt;=35,"B",IF(S17&gt;=25,"C",IF(S17&gt;=15,"D","F")))))</f>
        <v>F</v>
      </c>
      <c r="U17" s="13" t="n">
        <f aca="false">IF(S17="","",RANK(S17,$S$3:$S$22,0))</f>
        <v>1</v>
      </c>
    </row>
    <row r="18" customFormat="false" ht="21.75" hidden="false" customHeight="true" outlineLevel="0" collapsed="false">
      <c r="A18" s="13" t="n">
        <v>16</v>
      </c>
      <c r="B18" s="16"/>
      <c r="C18" s="17"/>
      <c r="D18" s="18"/>
      <c r="E18" s="17"/>
      <c r="F18" s="17"/>
      <c r="G18" s="17"/>
      <c r="H18" s="17"/>
      <c r="I18" s="17"/>
      <c r="J18" s="17" t="str">
        <f aca="false">IF(OR(G18="",H18="",I18=""),"",G18+H18+I18)</f>
        <v/>
      </c>
      <c r="K18" s="17"/>
      <c r="L18" s="17"/>
      <c r="M18" s="17"/>
      <c r="N18" s="17" t="str">
        <f aca="false">IF(OR(K18="",L18="",M18=""),"",K18+L18+M18)</f>
        <v/>
      </c>
      <c r="O18" s="17"/>
      <c r="P18" s="17"/>
      <c r="Q18" s="17"/>
      <c r="R18" s="17" t="str">
        <f aca="false">IF(OR(O18="",P18="",Q18=""),"",O18+P18+Q18)</f>
        <v/>
      </c>
      <c r="S18" s="17" t="n">
        <f aca="false">IF(COUNTA(E18:R18)=0,"",SUM(E18,F18,J18,N18,R18))</f>
        <v>0</v>
      </c>
      <c r="T18" s="17" t="str">
        <f aca="false">IF(S18="","",IF(S18&gt;=45,"A",IF(S18&gt;=35,"B",IF(S18&gt;=25,"C",IF(S18&gt;=15,"D","F")))))</f>
        <v>F</v>
      </c>
      <c r="U18" s="17" t="n">
        <f aca="false">IF(S18="","",RANK(S18,$S$3:$S$22,0))</f>
        <v>1</v>
      </c>
    </row>
    <row r="19" customFormat="false" ht="21.75" hidden="false" customHeight="true" outlineLevel="0" collapsed="false">
      <c r="A19" s="13" t="n">
        <v>17</v>
      </c>
      <c r="B19" s="14"/>
      <c r="C19" s="13"/>
      <c r="D19" s="15"/>
      <c r="E19" s="13"/>
      <c r="F19" s="13"/>
      <c r="G19" s="13"/>
      <c r="H19" s="13"/>
      <c r="I19" s="13"/>
      <c r="J19" s="13" t="str">
        <f aca="false">IF(OR(G19="",H19="",I19=""),"",G19+H19+I19)</f>
        <v/>
      </c>
      <c r="K19" s="13"/>
      <c r="L19" s="13"/>
      <c r="M19" s="13"/>
      <c r="N19" s="13" t="str">
        <f aca="false">IF(OR(K19="",L19="",M19=""),"",K19+L19+M19)</f>
        <v/>
      </c>
      <c r="O19" s="13"/>
      <c r="P19" s="13"/>
      <c r="Q19" s="13"/>
      <c r="R19" s="13" t="str">
        <f aca="false">IF(OR(O19="",P19="",Q19=""),"",O19+P19+Q19)</f>
        <v/>
      </c>
      <c r="S19" s="13" t="n">
        <f aca="false">IF(COUNTA(E19:R19)=0,"",SUM(E19,F19,J19,N19,R19))</f>
        <v>0</v>
      </c>
      <c r="T19" s="13" t="str">
        <f aca="false">IF(S19="","",IF(S19&gt;=45,"A",IF(S19&gt;=35,"B",IF(S19&gt;=25,"C",IF(S19&gt;=15,"D","F")))))</f>
        <v>F</v>
      </c>
      <c r="U19" s="13" t="n">
        <f aca="false">IF(S19="","",RANK(S19,$S$3:$S$22,0))</f>
        <v>1</v>
      </c>
    </row>
    <row r="20" customFormat="false" ht="21.75" hidden="false" customHeight="true" outlineLevel="0" collapsed="false">
      <c r="A20" s="13" t="n">
        <v>18</v>
      </c>
      <c r="B20" s="16"/>
      <c r="C20" s="17"/>
      <c r="D20" s="18"/>
      <c r="E20" s="17"/>
      <c r="F20" s="17"/>
      <c r="G20" s="17"/>
      <c r="H20" s="17"/>
      <c r="I20" s="17"/>
      <c r="J20" s="17" t="str">
        <f aca="false">IF(OR(G20="",H20="",I20=""),"",G20+H20+I20)</f>
        <v/>
      </c>
      <c r="K20" s="17"/>
      <c r="L20" s="17"/>
      <c r="M20" s="17"/>
      <c r="N20" s="17" t="str">
        <f aca="false">IF(OR(K20="",L20="",M20=""),"",K20+L20+M20)</f>
        <v/>
      </c>
      <c r="O20" s="17"/>
      <c r="P20" s="17"/>
      <c r="Q20" s="17"/>
      <c r="R20" s="17" t="str">
        <f aca="false">IF(OR(O20="",P20="",Q20=""),"",O20+P20+Q20)</f>
        <v/>
      </c>
      <c r="S20" s="17" t="n">
        <f aca="false">IF(COUNTA(E20:R20)=0,"",SUM(E20,F20,J20,N20,R20))</f>
        <v>0</v>
      </c>
      <c r="T20" s="17" t="str">
        <f aca="false">IF(S20="","",IF(S20&gt;=45,"A",IF(S20&gt;=35,"B",IF(S20&gt;=25,"C",IF(S20&gt;=15,"D","F")))))</f>
        <v>F</v>
      </c>
      <c r="U20" s="17" t="n">
        <f aca="false">IF(S20="","",RANK(S20,$S$3:$S$22,0))</f>
        <v>1</v>
      </c>
    </row>
    <row r="21" customFormat="false" ht="21.75" hidden="false" customHeight="true" outlineLevel="0" collapsed="false">
      <c r="A21" s="13" t="n">
        <v>19</v>
      </c>
      <c r="B21" s="14"/>
      <c r="C21" s="13"/>
      <c r="D21" s="15"/>
      <c r="E21" s="13"/>
      <c r="F21" s="13"/>
      <c r="G21" s="13"/>
      <c r="H21" s="13"/>
      <c r="I21" s="13"/>
      <c r="J21" s="13" t="str">
        <f aca="false">IF(OR(G21="",H21="",I21=""),"",G21+H21+I21)</f>
        <v/>
      </c>
      <c r="K21" s="13"/>
      <c r="L21" s="13"/>
      <c r="M21" s="13"/>
      <c r="N21" s="13" t="str">
        <f aca="false">IF(OR(K21="",L21="",M21=""),"",K21+L21+M21)</f>
        <v/>
      </c>
      <c r="O21" s="13"/>
      <c r="P21" s="13"/>
      <c r="Q21" s="13"/>
      <c r="R21" s="13" t="str">
        <f aca="false">IF(OR(O21="",P21="",Q21=""),"",O21+P21+Q21)</f>
        <v/>
      </c>
      <c r="S21" s="13" t="n">
        <f aca="false">IF(COUNTA(E21:R21)=0,"",SUM(E21,F21,J21,N21,R21))</f>
        <v>0</v>
      </c>
      <c r="T21" s="13" t="str">
        <f aca="false">IF(S21="","",IF(S21&gt;=45,"A",IF(S21&gt;=35,"B",IF(S21&gt;=25,"C",IF(S21&gt;=15,"D","F")))))</f>
        <v>F</v>
      </c>
      <c r="U21" s="13" t="n">
        <f aca="false">IF(S21="","",RANK(S21,$S$3:$S$22,0))</f>
        <v>1</v>
      </c>
    </row>
    <row r="22" customFormat="false" ht="21.75" hidden="false" customHeight="true" outlineLevel="0" collapsed="false">
      <c r="A22" s="13" t="n">
        <v>20</v>
      </c>
      <c r="B22" s="16"/>
      <c r="C22" s="17"/>
      <c r="D22" s="18"/>
      <c r="E22" s="17"/>
      <c r="F22" s="17"/>
      <c r="G22" s="17"/>
      <c r="H22" s="17"/>
      <c r="I22" s="17"/>
      <c r="J22" s="17" t="str">
        <f aca="false">IF(OR(G22="",H22="",I22=""),"",G22+H22+I22)</f>
        <v/>
      </c>
      <c r="K22" s="17"/>
      <c r="L22" s="17"/>
      <c r="M22" s="17"/>
      <c r="N22" s="17" t="str">
        <f aca="false">IF(OR(K22="",L22="",M22=""),"",K22+L22+M22)</f>
        <v/>
      </c>
      <c r="O22" s="17"/>
      <c r="P22" s="17"/>
      <c r="Q22" s="17"/>
      <c r="R22" s="17" t="str">
        <f aca="false">IF(OR(O22="",P22="",Q22=""),"",O22+P22+Q22)</f>
        <v/>
      </c>
      <c r="S22" s="17" t="n">
        <f aca="false">IF(COUNTA(E22:R22)=0,"",SUM(E22,F22,J22,N22,R22))</f>
        <v>0</v>
      </c>
      <c r="T22" s="17" t="str">
        <f aca="false">IF(S22="","",IF(S22&gt;=45,"A",IF(S22&gt;=35,"B",IF(S22&gt;=25,"C",IF(S22&gt;=15,"D","F")))))</f>
        <v>F</v>
      </c>
      <c r="U22" s="17" t="n">
        <f aca="false">IF(S22="","",RANK(S22,$S$3:$S$22,0))</f>
        <v>1</v>
      </c>
    </row>
  </sheetData>
  <mergeCells count="7">
    <mergeCell ref="A1:A2"/>
    <mergeCell ref="B1:B2"/>
    <mergeCell ref="C1:C2"/>
    <mergeCell ref="D1:D2"/>
    <mergeCell ref="G1:J1"/>
    <mergeCell ref="K1:N1"/>
    <mergeCell ref="O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9" min="4" style="0" width="10"/>
    <col collapsed="false" customWidth="true" hidden="false" outlineLevel="0" max="10" min="10" style="0" width="8"/>
    <col collapsed="false" customWidth="true" hidden="false" outlineLevel="0" max="13" min="11" style="0" width="10"/>
    <col collapsed="false" customWidth="true" hidden="false" outlineLevel="0" max="14" min="14" style="0" width="8"/>
    <col collapsed="false" customWidth="true" hidden="false" outlineLevel="0" max="17" min="15" style="0" width="10"/>
    <col collapsed="false" customWidth="true" hidden="false" outlineLevel="0" max="19" min="18" style="0" width="8"/>
    <col collapsed="false" customWidth="true" hidden="false" outlineLevel="0" max="21" min="20" style="0" width="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 t="s">
        <v>7</v>
      </c>
      <c r="L1" s="2"/>
      <c r="M1" s="2"/>
      <c r="N1" s="2"/>
      <c r="O1" s="2" t="s">
        <v>8</v>
      </c>
      <c r="P1" s="2"/>
      <c r="Q1" s="2"/>
      <c r="R1" s="2"/>
      <c r="S1" s="1" t="s">
        <v>9</v>
      </c>
      <c r="T1" s="1" t="s">
        <v>10</v>
      </c>
      <c r="U1" s="1" t="s">
        <v>11</v>
      </c>
    </row>
    <row r="2" customFormat="false" ht="39.75" hidden="false" customHeight="true" outlineLevel="0" collapsed="false">
      <c r="A2" s="1"/>
      <c r="B2" s="1"/>
      <c r="C2" s="1"/>
      <c r="D2" s="1"/>
      <c r="E2" s="3" t="s">
        <v>12</v>
      </c>
      <c r="F2" s="4" t="s">
        <v>12</v>
      </c>
      <c r="G2" s="5" t="s">
        <v>13</v>
      </c>
      <c r="H2" s="5" t="s">
        <v>14</v>
      </c>
      <c r="I2" s="5" t="s">
        <v>15</v>
      </c>
      <c r="J2" s="6" t="s">
        <v>16</v>
      </c>
      <c r="K2" s="7" t="s">
        <v>17</v>
      </c>
      <c r="L2" s="7" t="s">
        <v>18</v>
      </c>
      <c r="M2" s="7" t="s">
        <v>15</v>
      </c>
      <c r="N2" s="8" t="s">
        <v>16</v>
      </c>
      <c r="O2" s="9" t="s">
        <v>19</v>
      </c>
      <c r="P2" s="9" t="s">
        <v>20</v>
      </c>
      <c r="Q2" s="9" t="s">
        <v>15</v>
      </c>
      <c r="R2" s="10" t="s">
        <v>16</v>
      </c>
      <c r="S2" s="11" t="s">
        <v>21</v>
      </c>
      <c r="T2" s="11"/>
      <c r="U2" s="12"/>
    </row>
    <row r="3" customFormat="false" ht="21.75" hidden="false" customHeight="true" outlineLevel="0" collapsed="false">
      <c r="A3" s="13" t="n">
        <v>1</v>
      </c>
      <c r="B3" s="14"/>
      <c r="C3" s="13"/>
      <c r="D3" s="15"/>
      <c r="E3" s="13"/>
      <c r="F3" s="13"/>
      <c r="G3" s="13"/>
      <c r="H3" s="13"/>
      <c r="I3" s="13"/>
      <c r="J3" s="13" t="str">
        <f aca="false">IF(OR(G3="",H3="",I3=""),"",G3+H3+I3)</f>
        <v/>
      </c>
      <c r="K3" s="13"/>
      <c r="L3" s="13"/>
      <c r="M3" s="13"/>
      <c r="N3" s="13" t="str">
        <f aca="false">IF(OR(K3="",L3="",M3=""),"",K3+L3+M3)</f>
        <v/>
      </c>
      <c r="O3" s="13"/>
      <c r="P3" s="13"/>
      <c r="Q3" s="13"/>
      <c r="R3" s="13" t="str">
        <f aca="false">IF(OR(O3="",P3="",Q3=""),"",O3+P3+Q3)</f>
        <v/>
      </c>
      <c r="S3" s="13" t="n">
        <f aca="false">IF(COUNTA(E3:R3)=0,"",SUM(E3,F3,J3,N3,R3))</f>
        <v>0</v>
      </c>
      <c r="T3" s="13" t="str">
        <f aca="false">IF(S3="","",IF(S3&gt;=45,"A",IF(S3&gt;=35,"B",IF(S3&gt;=25,"C",IF(S3&gt;=15,"D","F")))))</f>
        <v>F</v>
      </c>
      <c r="U3" s="13" t="n">
        <f aca="false">IF(S3="","",RANK(S3,$S$3:$S$22,0))</f>
        <v>1</v>
      </c>
    </row>
    <row r="4" customFormat="false" ht="21.75" hidden="false" customHeight="true" outlineLevel="0" collapsed="false">
      <c r="A4" s="13" t="n">
        <v>2</v>
      </c>
      <c r="B4" s="16"/>
      <c r="C4" s="17"/>
      <c r="D4" s="18"/>
      <c r="E4" s="17"/>
      <c r="F4" s="17"/>
      <c r="G4" s="17"/>
      <c r="H4" s="17"/>
      <c r="I4" s="17"/>
      <c r="J4" s="17" t="str">
        <f aca="false">IF(OR(G4="",H4="",I4=""),"",G4+H4+I4)</f>
        <v/>
      </c>
      <c r="K4" s="17"/>
      <c r="L4" s="17"/>
      <c r="M4" s="17"/>
      <c r="N4" s="17" t="str">
        <f aca="false">IF(OR(K4="",L4="",M4=""),"",K4+L4+M4)</f>
        <v/>
      </c>
      <c r="O4" s="17"/>
      <c r="P4" s="17"/>
      <c r="Q4" s="17"/>
      <c r="R4" s="17" t="str">
        <f aca="false">IF(OR(O4="",P4="",Q4=""),"",O4+P4+Q4)</f>
        <v/>
      </c>
      <c r="S4" s="17" t="n">
        <f aca="false">IF(COUNTA(E4:R4)=0,"",SUM(E4,F4,J4,N4,R4))</f>
        <v>0</v>
      </c>
      <c r="T4" s="17" t="str">
        <f aca="false">IF(S4="","",IF(S4&gt;=45,"A",IF(S4&gt;=35,"B",IF(S4&gt;=25,"C",IF(S4&gt;=15,"D","F")))))</f>
        <v>F</v>
      </c>
      <c r="U4" s="17" t="n">
        <f aca="false">IF(S4="","",RANK(S4,$S$3:$S$22,0))</f>
        <v>1</v>
      </c>
    </row>
    <row r="5" customFormat="false" ht="21.75" hidden="false" customHeight="true" outlineLevel="0" collapsed="false">
      <c r="A5" s="13" t="n">
        <v>3</v>
      </c>
      <c r="B5" s="14"/>
      <c r="C5" s="13"/>
      <c r="D5" s="15"/>
      <c r="E5" s="13"/>
      <c r="F5" s="13"/>
      <c r="G5" s="13"/>
      <c r="H5" s="13"/>
      <c r="I5" s="13"/>
      <c r="J5" s="13" t="str">
        <f aca="false">IF(OR(G5="",H5="",I5=""),"",G5+H5+I5)</f>
        <v/>
      </c>
      <c r="K5" s="13"/>
      <c r="L5" s="13"/>
      <c r="M5" s="13"/>
      <c r="N5" s="13" t="str">
        <f aca="false">IF(OR(K5="",L5="",M5=""),"",K5+L5+M5)</f>
        <v/>
      </c>
      <c r="O5" s="13"/>
      <c r="P5" s="13"/>
      <c r="Q5" s="13"/>
      <c r="R5" s="13" t="str">
        <f aca="false">IF(OR(O5="",P5="",Q5=""),"",O5+P5+Q5)</f>
        <v/>
      </c>
      <c r="S5" s="13" t="n">
        <f aca="false">IF(COUNTA(E5:R5)=0,"",SUM(E5,F5,J5,N5,R5))</f>
        <v>0</v>
      </c>
      <c r="T5" s="13" t="str">
        <f aca="false">IF(S5="","",IF(S5&gt;=45,"A",IF(S5&gt;=35,"B",IF(S5&gt;=25,"C",IF(S5&gt;=15,"D","F")))))</f>
        <v>F</v>
      </c>
      <c r="U5" s="13" t="n">
        <f aca="false">IF(S5="","",RANK(S5,$S$3:$S$22,0))</f>
        <v>1</v>
      </c>
    </row>
    <row r="6" customFormat="false" ht="21.75" hidden="false" customHeight="true" outlineLevel="0" collapsed="false">
      <c r="A6" s="13" t="n">
        <v>4</v>
      </c>
      <c r="B6" s="16"/>
      <c r="C6" s="17"/>
      <c r="D6" s="18"/>
      <c r="E6" s="17"/>
      <c r="F6" s="17"/>
      <c r="G6" s="17"/>
      <c r="H6" s="17"/>
      <c r="I6" s="17"/>
      <c r="J6" s="17" t="str">
        <f aca="false">IF(OR(G6="",H6="",I6=""),"",G6+H6+I6)</f>
        <v/>
      </c>
      <c r="K6" s="17"/>
      <c r="L6" s="17"/>
      <c r="M6" s="17"/>
      <c r="N6" s="17" t="str">
        <f aca="false">IF(OR(K6="",L6="",M6=""),"",K6+L6+M6)</f>
        <v/>
      </c>
      <c r="O6" s="17"/>
      <c r="P6" s="17"/>
      <c r="Q6" s="17"/>
      <c r="R6" s="17" t="str">
        <f aca="false">IF(OR(O6="",P6="",Q6=""),"",O6+P6+Q6)</f>
        <v/>
      </c>
      <c r="S6" s="17" t="n">
        <f aca="false">IF(COUNTA(E6:R6)=0,"",SUM(E6,F6,J6,N6,R6))</f>
        <v>0</v>
      </c>
      <c r="T6" s="17" t="str">
        <f aca="false">IF(S6="","",IF(S6&gt;=45,"A",IF(S6&gt;=35,"B",IF(S6&gt;=25,"C",IF(S6&gt;=15,"D","F")))))</f>
        <v>F</v>
      </c>
      <c r="U6" s="17" t="n">
        <f aca="false">IF(S6="","",RANK(S6,$S$3:$S$22,0))</f>
        <v>1</v>
      </c>
    </row>
    <row r="7" customFormat="false" ht="21.75" hidden="false" customHeight="true" outlineLevel="0" collapsed="false">
      <c r="A7" s="13" t="n">
        <v>5</v>
      </c>
      <c r="B7" s="14"/>
      <c r="C7" s="13"/>
      <c r="D7" s="15"/>
      <c r="E7" s="13"/>
      <c r="F7" s="13"/>
      <c r="G7" s="13"/>
      <c r="H7" s="13"/>
      <c r="I7" s="13"/>
      <c r="J7" s="13" t="str">
        <f aca="false">IF(OR(G7="",H7="",I7=""),"",G7+H7+I7)</f>
        <v/>
      </c>
      <c r="K7" s="13"/>
      <c r="L7" s="13"/>
      <c r="M7" s="13"/>
      <c r="N7" s="13" t="str">
        <f aca="false">IF(OR(K7="",L7="",M7=""),"",K7+L7+M7)</f>
        <v/>
      </c>
      <c r="O7" s="13"/>
      <c r="P7" s="13"/>
      <c r="Q7" s="13"/>
      <c r="R7" s="13" t="str">
        <f aca="false">IF(OR(O7="",P7="",Q7=""),"",O7+P7+Q7)</f>
        <v/>
      </c>
      <c r="S7" s="13" t="n">
        <f aca="false">IF(COUNTA(E7:R7)=0,"",SUM(E7,F7,J7,N7,R7))</f>
        <v>0</v>
      </c>
      <c r="T7" s="13" t="str">
        <f aca="false">IF(S7="","",IF(S7&gt;=45,"A",IF(S7&gt;=35,"B",IF(S7&gt;=25,"C",IF(S7&gt;=15,"D","F")))))</f>
        <v>F</v>
      </c>
      <c r="U7" s="13" t="n">
        <f aca="false">IF(S7="","",RANK(S7,$S$3:$S$22,0))</f>
        <v>1</v>
      </c>
    </row>
    <row r="8" customFormat="false" ht="21.75" hidden="false" customHeight="true" outlineLevel="0" collapsed="false">
      <c r="A8" s="13" t="n">
        <v>6</v>
      </c>
      <c r="B8" s="16"/>
      <c r="C8" s="17"/>
      <c r="D8" s="18"/>
      <c r="E8" s="17"/>
      <c r="F8" s="17"/>
      <c r="G8" s="17"/>
      <c r="H8" s="17"/>
      <c r="I8" s="17"/>
      <c r="J8" s="17" t="str">
        <f aca="false">IF(OR(G8="",H8="",I8=""),"",G8+H8+I8)</f>
        <v/>
      </c>
      <c r="K8" s="17"/>
      <c r="L8" s="17"/>
      <c r="M8" s="17"/>
      <c r="N8" s="17" t="str">
        <f aca="false">IF(OR(K8="",L8="",M8=""),"",K8+L8+M8)</f>
        <v/>
      </c>
      <c r="O8" s="17"/>
      <c r="P8" s="17"/>
      <c r="Q8" s="17"/>
      <c r="R8" s="17" t="str">
        <f aca="false">IF(OR(O8="",P8="",Q8=""),"",O8+P8+Q8)</f>
        <v/>
      </c>
      <c r="S8" s="17" t="n">
        <f aca="false">IF(COUNTA(E8:R8)=0,"",SUM(E8,F8,J8,N8,R8))</f>
        <v>0</v>
      </c>
      <c r="T8" s="17" t="str">
        <f aca="false">IF(S8="","",IF(S8&gt;=45,"A",IF(S8&gt;=35,"B",IF(S8&gt;=25,"C",IF(S8&gt;=15,"D","F")))))</f>
        <v>F</v>
      </c>
      <c r="U8" s="17" t="n">
        <f aca="false">IF(S8="","",RANK(S8,$S$3:$S$22,0))</f>
        <v>1</v>
      </c>
    </row>
    <row r="9" customFormat="false" ht="21.75" hidden="false" customHeight="true" outlineLevel="0" collapsed="false">
      <c r="A9" s="13" t="n">
        <v>7</v>
      </c>
      <c r="B9" s="14"/>
      <c r="C9" s="13"/>
      <c r="D9" s="15"/>
      <c r="E9" s="13"/>
      <c r="F9" s="13"/>
      <c r="G9" s="13"/>
      <c r="H9" s="13"/>
      <c r="I9" s="13"/>
      <c r="J9" s="13" t="str">
        <f aca="false">IF(OR(G9="",H9="",I9=""),"",G9+H9+I9)</f>
        <v/>
      </c>
      <c r="K9" s="13"/>
      <c r="L9" s="13"/>
      <c r="M9" s="13"/>
      <c r="N9" s="13" t="str">
        <f aca="false">IF(OR(K9="",L9="",M9=""),"",K9+L9+M9)</f>
        <v/>
      </c>
      <c r="O9" s="13"/>
      <c r="P9" s="13"/>
      <c r="Q9" s="13"/>
      <c r="R9" s="13" t="str">
        <f aca="false">IF(OR(O9="",P9="",Q9=""),"",O9+P9+Q9)</f>
        <v/>
      </c>
      <c r="S9" s="13" t="n">
        <f aca="false">IF(COUNTA(E9:R9)=0,"",SUM(E9,F9,J9,N9,R9))</f>
        <v>0</v>
      </c>
      <c r="T9" s="13" t="str">
        <f aca="false">IF(S9="","",IF(S9&gt;=45,"A",IF(S9&gt;=35,"B",IF(S9&gt;=25,"C",IF(S9&gt;=15,"D","F")))))</f>
        <v>F</v>
      </c>
      <c r="U9" s="13" t="n">
        <f aca="false">IF(S9="","",RANK(S9,$S$3:$S$22,0))</f>
        <v>1</v>
      </c>
    </row>
    <row r="10" customFormat="false" ht="21.75" hidden="false" customHeight="true" outlineLevel="0" collapsed="false">
      <c r="A10" s="13" t="n">
        <v>8</v>
      </c>
      <c r="B10" s="16"/>
      <c r="C10" s="17"/>
      <c r="D10" s="18"/>
      <c r="E10" s="17"/>
      <c r="F10" s="17"/>
      <c r="G10" s="17"/>
      <c r="H10" s="17"/>
      <c r="I10" s="17"/>
      <c r="J10" s="17" t="str">
        <f aca="false">IF(OR(G10="",H10="",I10=""),"",G10+H10+I10)</f>
        <v/>
      </c>
      <c r="K10" s="17"/>
      <c r="L10" s="17"/>
      <c r="M10" s="17"/>
      <c r="N10" s="17" t="str">
        <f aca="false">IF(OR(K10="",L10="",M10=""),"",K10+L10+M10)</f>
        <v/>
      </c>
      <c r="O10" s="17"/>
      <c r="P10" s="17"/>
      <c r="Q10" s="17"/>
      <c r="R10" s="17" t="str">
        <f aca="false">IF(OR(O10="",P10="",Q10=""),"",O10+P10+Q10)</f>
        <v/>
      </c>
      <c r="S10" s="17" t="n">
        <f aca="false">IF(COUNTA(E10:R10)=0,"",SUM(E10,F10,J10,N10,R10))</f>
        <v>0</v>
      </c>
      <c r="T10" s="17" t="str">
        <f aca="false">IF(S10="","",IF(S10&gt;=45,"A",IF(S10&gt;=35,"B",IF(S10&gt;=25,"C",IF(S10&gt;=15,"D","F")))))</f>
        <v>F</v>
      </c>
      <c r="U10" s="17" t="n">
        <f aca="false">IF(S10="","",RANK(S10,$S$3:$S$22,0))</f>
        <v>1</v>
      </c>
    </row>
    <row r="11" customFormat="false" ht="21.75" hidden="false" customHeight="true" outlineLevel="0" collapsed="false">
      <c r="A11" s="13" t="n">
        <v>9</v>
      </c>
      <c r="B11" s="14"/>
      <c r="C11" s="13"/>
      <c r="D11" s="15"/>
      <c r="E11" s="13"/>
      <c r="F11" s="13"/>
      <c r="G11" s="13"/>
      <c r="H11" s="13"/>
      <c r="I11" s="13"/>
      <c r="J11" s="13" t="str">
        <f aca="false">IF(OR(G11="",H11="",I11=""),"",G11+H11+I11)</f>
        <v/>
      </c>
      <c r="K11" s="13"/>
      <c r="L11" s="13"/>
      <c r="M11" s="13"/>
      <c r="N11" s="13" t="str">
        <f aca="false">IF(OR(K11="",L11="",M11=""),"",K11+L11+M11)</f>
        <v/>
      </c>
      <c r="O11" s="13"/>
      <c r="P11" s="13"/>
      <c r="Q11" s="13"/>
      <c r="R11" s="13" t="str">
        <f aca="false">IF(OR(O11="",P11="",Q11=""),"",O11+P11+Q11)</f>
        <v/>
      </c>
      <c r="S11" s="13" t="n">
        <f aca="false">IF(COUNTA(E11:R11)=0,"",SUM(E11,F11,J11,N11,R11))</f>
        <v>0</v>
      </c>
      <c r="T11" s="13" t="str">
        <f aca="false">IF(S11="","",IF(S11&gt;=45,"A",IF(S11&gt;=35,"B",IF(S11&gt;=25,"C",IF(S11&gt;=15,"D","F")))))</f>
        <v>F</v>
      </c>
      <c r="U11" s="13" t="n">
        <f aca="false">IF(S11="","",RANK(S11,$S$3:$S$22,0))</f>
        <v>1</v>
      </c>
    </row>
    <row r="12" customFormat="false" ht="21.75" hidden="false" customHeight="true" outlineLevel="0" collapsed="false">
      <c r="A12" s="13" t="n">
        <v>10</v>
      </c>
      <c r="B12" s="16"/>
      <c r="C12" s="17"/>
      <c r="D12" s="18"/>
      <c r="E12" s="17"/>
      <c r="F12" s="17"/>
      <c r="G12" s="17"/>
      <c r="H12" s="17"/>
      <c r="I12" s="17"/>
      <c r="J12" s="17" t="str">
        <f aca="false">IF(OR(G12="",H12="",I12=""),"",G12+H12+I12)</f>
        <v/>
      </c>
      <c r="K12" s="17"/>
      <c r="L12" s="17"/>
      <c r="M12" s="17"/>
      <c r="N12" s="17" t="str">
        <f aca="false">IF(OR(K12="",L12="",M12=""),"",K12+L12+M12)</f>
        <v/>
      </c>
      <c r="O12" s="17"/>
      <c r="P12" s="17"/>
      <c r="Q12" s="17"/>
      <c r="R12" s="17" t="str">
        <f aca="false">IF(OR(O12="",P12="",Q12=""),"",O12+P12+Q12)</f>
        <v/>
      </c>
      <c r="S12" s="17" t="n">
        <f aca="false">IF(COUNTA(E12:R12)=0,"",SUM(E12,F12,J12,N12,R12))</f>
        <v>0</v>
      </c>
      <c r="T12" s="17" t="str">
        <f aca="false">IF(S12="","",IF(S12&gt;=45,"A",IF(S12&gt;=35,"B",IF(S12&gt;=25,"C",IF(S12&gt;=15,"D","F")))))</f>
        <v>F</v>
      </c>
      <c r="U12" s="17" t="n">
        <f aca="false">IF(S12="","",RANK(S12,$S$3:$S$22,0))</f>
        <v>1</v>
      </c>
    </row>
    <row r="13" customFormat="false" ht="21.75" hidden="false" customHeight="true" outlineLevel="0" collapsed="false">
      <c r="A13" s="13" t="n">
        <v>11</v>
      </c>
      <c r="B13" s="14"/>
      <c r="C13" s="13"/>
      <c r="D13" s="15"/>
      <c r="E13" s="13"/>
      <c r="F13" s="13"/>
      <c r="G13" s="13"/>
      <c r="H13" s="13"/>
      <c r="I13" s="13"/>
      <c r="J13" s="13" t="str">
        <f aca="false">IF(OR(G13="",H13="",I13=""),"",G13+H13+I13)</f>
        <v/>
      </c>
      <c r="K13" s="13"/>
      <c r="L13" s="13"/>
      <c r="M13" s="13"/>
      <c r="N13" s="13" t="str">
        <f aca="false">IF(OR(K13="",L13="",M13=""),"",K13+L13+M13)</f>
        <v/>
      </c>
      <c r="O13" s="13"/>
      <c r="P13" s="13"/>
      <c r="Q13" s="13"/>
      <c r="R13" s="13" t="str">
        <f aca="false">IF(OR(O13="",P13="",Q13=""),"",O13+P13+Q13)</f>
        <v/>
      </c>
      <c r="S13" s="13" t="n">
        <f aca="false">IF(COUNTA(E13:R13)=0,"",SUM(E13,F13,J13,N13,R13))</f>
        <v>0</v>
      </c>
      <c r="T13" s="13" t="str">
        <f aca="false">IF(S13="","",IF(S13&gt;=45,"A",IF(S13&gt;=35,"B",IF(S13&gt;=25,"C",IF(S13&gt;=15,"D","F")))))</f>
        <v>F</v>
      </c>
      <c r="U13" s="13" t="n">
        <f aca="false">IF(S13="","",RANK(S13,$S$3:$S$22,0))</f>
        <v>1</v>
      </c>
    </row>
    <row r="14" customFormat="false" ht="21.75" hidden="false" customHeight="true" outlineLevel="0" collapsed="false">
      <c r="A14" s="13" t="n">
        <v>12</v>
      </c>
      <c r="B14" s="16"/>
      <c r="C14" s="17"/>
      <c r="D14" s="18"/>
      <c r="E14" s="17"/>
      <c r="F14" s="17"/>
      <c r="G14" s="17"/>
      <c r="H14" s="17"/>
      <c r="I14" s="17"/>
      <c r="J14" s="17" t="str">
        <f aca="false">IF(OR(G14="",H14="",I14=""),"",G14+H14+I14)</f>
        <v/>
      </c>
      <c r="K14" s="17"/>
      <c r="L14" s="17"/>
      <c r="M14" s="17"/>
      <c r="N14" s="17" t="str">
        <f aca="false">IF(OR(K14="",L14="",M14=""),"",K14+L14+M14)</f>
        <v/>
      </c>
      <c r="O14" s="17"/>
      <c r="P14" s="17"/>
      <c r="Q14" s="17"/>
      <c r="R14" s="17" t="str">
        <f aca="false">IF(OR(O14="",P14="",Q14=""),"",O14+P14+Q14)</f>
        <v/>
      </c>
      <c r="S14" s="17" t="n">
        <f aca="false">IF(COUNTA(E14:R14)=0,"",SUM(E14,F14,J14,N14,R14))</f>
        <v>0</v>
      </c>
      <c r="T14" s="17" t="str">
        <f aca="false">IF(S14="","",IF(S14&gt;=45,"A",IF(S14&gt;=35,"B",IF(S14&gt;=25,"C",IF(S14&gt;=15,"D","F")))))</f>
        <v>F</v>
      </c>
      <c r="U14" s="17" t="n">
        <f aca="false">IF(S14="","",RANK(S14,$S$3:$S$22,0))</f>
        <v>1</v>
      </c>
    </row>
    <row r="15" customFormat="false" ht="21.75" hidden="false" customHeight="true" outlineLevel="0" collapsed="false">
      <c r="A15" s="13" t="n">
        <v>13</v>
      </c>
      <c r="B15" s="14"/>
      <c r="C15" s="13"/>
      <c r="D15" s="15"/>
      <c r="E15" s="13"/>
      <c r="F15" s="13"/>
      <c r="G15" s="13"/>
      <c r="H15" s="13"/>
      <c r="I15" s="13"/>
      <c r="J15" s="13" t="str">
        <f aca="false">IF(OR(G15="",H15="",I15=""),"",G15+H15+I15)</f>
        <v/>
      </c>
      <c r="K15" s="13"/>
      <c r="L15" s="13"/>
      <c r="M15" s="13"/>
      <c r="N15" s="13" t="str">
        <f aca="false">IF(OR(K15="",L15="",M15=""),"",K15+L15+M15)</f>
        <v/>
      </c>
      <c r="O15" s="13"/>
      <c r="P15" s="13"/>
      <c r="Q15" s="13"/>
      <c r="R15" s="13" t="str">
        <f aca="false">IF(OR(O15="",P15="",Q15=""),"",O15+P15+Q15)</f>
        <v/>
      </c>
      <c r="S15" s="13" t="n">
        <f aca="false">IF(COUNTA(E15:R15)=0,"",SUM(E15,F15,J15,N15,R15))</f>
        <v>0</v>
      </c>
      <c r="T15" s="13" t="str">
        <f aca="false">IF(S15="","",IF(S15&gt;=45,"A",IF(S15&gt;=35,"B",IF(S15&gt;=25,"C",IF(S15&gt;=15,"D","F")))))</f>
        <v>F</v>
      </c>
      <c r="U15" s="13" t="n">
        <f aca="false">IF(S15="","",RANK(S15,$S$3:$S$22,0))</f>
        <v>1</v>
      </c>
    </row>
    <row r="16" customFormat="false" ht="21.75" hidden="false" customHeight="true" outlineLevel="0" collapsed="false">
      <c r="A16" s="13" t="n">
        <v>14</v>
      </c>
      <c r="B16" s="16"/>
      <c r="C16" s="17"/>
      <c r="D16" s="18"/>
      <c r="E16" s="17"/>
      <c r="F16" s="17"/>
      <c r="G16" s="17"/>
      <c r="H16" s="17"/>
      <c r="I16" s="17"/>
      <c r="J16" s="17" t="str">
        <f aca="false">IF(OR(G16="",H16="",I16=""),"",G16+H16+I16)</f>
        <v/>
      </c>
      <c r="K16" s="17"/>
      <c r="L16" s="17"/>
      <c r="M16" s="17"/>
      <c r="N16" s="17" t="str">
        <f aca="false">IF(OR(K16="",L16="",M16=""),"",K16+L16+M16)</f>
        <v/>
      </c>
      <c r="O16" s="17"/>
      <c r="P16" s="17"/>
      <c r="Q16" s="17"/>
      <c r="R16" s="17" t="str">
        <f aca="false">IF(OR(O16="",P16="",Q16=""),"",O16+P16+Q16)</f>
        <v/>
      </c>
      <c r="S16" s="17" t="n">
        <f aca="false">IF(COUNTA(E16:R16)=0,"",SUM(E16,F16,J16,N16,R16))</f>
        <v>0</v>
      </c>
      <c r="T16" s="17" t="str">
        <f aca="false">IF(S16="","",IF(S16&gt;=45,"A",IF(S16&gt;=35,"B",IF(S16&gt;=25,"C",IF(S16&gt;=15,"D","F")))))</f>
        <v>F</v>
      </c>
      <c r="U16" s="17" t="n">
        <f aca="false">IF(S16="","",RANK(S16,$S$3:$S$22,0))</f>
        <v>1</v>
      </c>
    </row>
    <row r="17" customFormat="false" ht="21.75" hidden="false" customHeight="true" outlineLevel="0" collapsed="false">
      <c r="A17" s="13" t="n">
        <v>15</v>
      </c>
      <c r="B17" s="14"/>
      <c r="C17" s="13"/>
      <c r="D17" s="15"/>
      <c r="E17" s="13"/>
      <c r="F17" s="13"/>
      <c r="G17" s="13"/>
      <c r="H17" s="13"/>
      <c r="I17" s="13"/>
      <c r="J17" s="13" t="str">
        <f aca="false">IF(OR(G17="",H17="",I17=""),"",G17+H17+I17)</f>
        <v/>
      </c>
      <c r="K17" s="13"/>
      <c r="L17" s="13"/>
      <c r="M17" s="13"/>
      <c r="N17" s="13" t="str">
        <f aca="false">IF(OR(K17="",L17="",M17=""),"",K17+L17+M17)</f>
        <v/>
      </c>
      <c r="O17" s="13"/>
      <c r="P17" s="13"/>
      <c r="Q17" s="13"/>
      <c r="R17" s="13" t="str">
        <f aca="false">IF(OR(O17="",P17="",Q17=""),"",O17+P17+Q17)</f>
        <v/>
      </c>
      <c r="S17" s="13" t="n">
        <f aca="false">IF(COUNTA(E17:R17)=0,"",SUM(E17,F17,J17,N17,R17))</f>
        <v>0</v>
      </c>
      <c r="T17" s="13" t="str">
        <f aca="false">IF(S17="","",IF(S17&gt;=45,"A",IF(S17&gt;=35,"B",IF(S17&gt;=25,"C",IF(S17&gt;=15,"D","F")))))</f>
        <v>F</v>
      </c>
      <c r="U17" s="13" t="n">
        <f aca="false">IF(S17="","",RANK(S17,$S$3:$S$22,0))</f>
        <v>1</v>
      </c>
    </row>
    <row r="18" customFormat="false" ht="21.75" hidden="false" customHeight="true" outlineLevel="0" collapsed="false">
      <c r="A18" s="13" t="n">
        <v>16</v>
      </c>
      <c r="B18" s="16"/>
      <c r="C18" s="17"/>
      <c r="D18" s="18"/>
      <c r="E18" s="17"/>
      <c r="F18" s="17"/>
      <c r="G18" s="17"/>
      <c r="H18" s="17"/>
      <c r="I18" s="17"/>
      <c r="J18" s="17" t="str">
        <f aca="false">IF(OR(G18="",H18="",I18=""),"",G18+H18+I18)</f>
        <v/>
      </c>
      <c r="K18" s="17"/>
      <c r="L18" s="17"/>
      <c r="M18" s="17"/>
      <c r="N18" s="17" t="str">
        <f aca="false">IF(OR(K18="",L18="",M18=""),"",K18+L18+M18)</f>
        <v/>
      </c>
      <c r="O18" s="17"/>
      <c r="P18" s="17"/>
      <c r="Q18" s="17"/>
      <c r="R18" s="17" t="str">
        <f aca="false">IF(OR(O18="",P18="",Q18=""),"",O18+P18+Q18)</f>
        <v/>
      </c>
      <c r="S18" s="17" t="n">
        <f aca="false">IF(COUNTA(E18:R18)=0,"",SUM(E18,F18,J18,N18,R18))</f>
        <v>0</v>
      </c>
      <c r="T18" s="17" t="str">
        <f aca="false">IF(S18="","",IF(S18&gt;=45,"A",IF(S18&gt;=35,"B",IF(S18&gt;=25,"C",IF(S18&gt;=15,"D","F")))))</f>
        <v>F</v>
      </c>
      <c r="U18" s="17" t="n">
        <f aca="false">IF(S18="","",RANK(S18,$S$3:$S$22,0))</f>
        <v>1</v>
      </c>
    </row>
    <row r="19" customFormat="false" ht="21.75" hidden="false" customHeight="true" outlineLevel="0" collapsed="false">
      <c r="A19" s="13" t="n">
        <v>17</v>
      </c>
      <c r="B19" s="14"/>
      <c r="C19" s="13"/>
      <c r="D19" s="15"/>
      <c r="E19" s="13"/>
      <c r="F19" s="13"/>
      <c r="G19" s="13"/>
      <c r="H19" s="13"/>
      <c r="I19" s="13"/>
      <c r="J19" s="13" t="str">
        <f aca="false">IF(OR(G19="",H19="",I19=""),"",G19+H19+I19)</f>
        <v/>
      </c>
      <c r="K19" s="13"/>
      <c r="L19" s="13"/>
      <c r="M19" s="13"/>
      <c r="N19" s="13" t="str">
        <f aca="false">IF(OR(K19="",L19="",M19=""),"",K19+L19+M19)</f>
        <v/>
      </c>
      <c r="O19" s="13"/>
      <c r="P19" s="13"/>
      <c r="Q19" s="13"/>
      <c r="R19" s="13" t="str">
        <f aca="false">IF(OR(O19="",P19="",Q19=""),"",O19+P19+Q19)</f>
        <v/>
      </c>
      <c r="S19" s="13" t="n">
        <f aca="false">IF(COUNTA(E19:R19)=0,"",SUM(E19,F19,J19,N19,R19))</f>
        <v>0</v>
      </c>
      <c r="T19" s="13" t="str">
        <f aca="false">IF(S19="","",IF(S19&gt;=45,"A",IF(S19&gt;=35,"B",IF(S19&gt;=25,"C",IF(S19&gt;=15,"D","F")))))</f>
        <v>F</v>
      </c>
      <c r="U19" s="13" t="n">
        <f aca="false">IF(S19="","",RANK(S19,$S$3:$S$22,0))</f>
        <v>1</v>
      </c>
    </row>
    <row r="20" customFormat="false" ht="21.75" hidden="false" customHeight="true" outlineLevel="0" collapsed="false">
      <c r="A20" s="13" t="n">
        <v>18</v>
      </c>
      <c r="B20" s="16"/>
      <c r="C20" s="17"/>
      <c r="D20" s="18"/>
      <c r="E20" s="17"/>
      <c r="F20" s="17"/>
      <c r="G20" s="17"/>
      <c r="H20" s="17"/>
      <c r="I20" s="17"/>
      <c r="J20" s="17" t="str">
        <f aca="false">IF(OR(G20="",H20="",I20=""),"",G20+H20+I20)</f>
        <v/>
      </c>
      <c r="K20" s="17"/>
      <c r="L20" s="17"/>
      <c r="M20" s="17"/>
      <c r="N20" s="17" t="str">
        <f aca="false">IF(OR(K20="",L20="",M20=""),"",K20+L20+M20)</f>
        <v/>
      </c>
      <c r="O20" s="17"/>
      <c r="P20" s="17"/>
      <c r="Q20" s="17"/>
      <c r="R20" s="17" t="str">
        <f aca="false">IF(OR(O20="",P20="",Q20=""),"",O20+P20+Q20)</f>
        <v/>
      </c>
      <c r="S20" s="17" t="n">
        <f aca="false">IF(COUNTA(E20:R20)=0,"",SUM(E20,F20,J20,N20,R20))</f>
        <v>0</v>
      </c>
      <c r="T20" s="17" t="str">
        <f aca="false">IF(S20="","",IF(S20&gt;=45,"A",IF(S20&gt;=35,"B",IF(S20&gt;=25,"C",IF(S20&gt;=15,"D","F")))))</f>
        <v>F</v>
      </c>
      <c r="U20" s="17" t="n">
        <f aca="false">IF(S20="","",RANK(S20,$S$3:$S$22,0))</f>
        <v>1</v>
      </c>
    </row>
    <row r="21" customFormat="false" ht="21.75" hidden="false" customHeight="true" outlineLevel="0" collapsed="false">
      <c r="A21" s="13" t="n">
        <v>19</v>
      </c>
      <c r="B21" s="14"/>
      <c r="C21" s="13"/>
      <c r="D21" s="15"/>
      <c r="E21" s="13"/>
      <c r="F21" s="13"/>
      <c r="G21" s="13"/>
      <c r="H21" s="13"/>
      <c r="I21" s="13"/>
      <c r="J21" s="13" t="str">
        <f aca="false">IF(OR(G21="",H21="",I21=""),"",G21+H21+I21)</f>
        <v/>
      </c>
      <c r="K21" s="13"/>
      <c r="L21" s="13"/>
      <c r="M21" s="13"/>
      <c r="N21" s="13" t="str">
        <f aca="false">IF(OR(K21="",L21="",M21=""),"",K21+L21+M21)</f>
        <v/>
      </c>
      <c r="O21" s="13"/>
      <c r="P21" s="13"/>
      <c r="Q21" s="13"/>
      <c r="R21" s="13" t="str">
        <f aca="false">IF(OR(O21="",P21="",Q21=""),"",O21+P21+Q21)</f>
        <v/>
      </c>
      <c r="S21" s="13" t="n">
        <f aca="false">IF(COUNTA(E21:R21)=0,"",SUM(E21,F21,J21,N21,R21))</f>
        <v>0</v>
      </c>
      <c r="T21" s="13" t="str">
        <f aca="false">IF(S21="","",IF(S21&gt;=45,"A",IF(S21&gt;=35,"B",IF(S21&gt;=25,"C",IF(S21&gt;=15,"D","F")))))</f>
        <v>F</v>
      </c>
      <c r="U21" s="13" t="n">
        <f aca="false">IF(S21="","",RANK(S21,$S$3:$S$22,0))</f>
        <v>1</v>
      </c>
    </row>
    <row r="22" customFormat="false" ht="21.75" hidden="false" customHeight="true" outlineLevel="0" collapsed="false">
      <c r="A22" s="13" t="n">
        <v>20</v>
      </c>
      <c r="B22" s="16"/>
      <c r="C22" s="17"/>
      <c r="D22" s="18"/>
      <c r="E22" s="17"/>
      <c r="F22" s="17"/>
      <c r="G22" s="17"/>
      <c r="H22" s="17"/>
      <c r="I22" s="17"/>
      <c r="J22" s="17" t="str">
        <f aca="false">IF(OR(G22="",H22="",I22=""),"",G22+H22+I22)</f>
        <v/>
      </c>
      <c r="K22" s="17"/>
      <c r="L22" s="17"/>
      <c r="M22" s="17"/>
      <c r="N22" s="17" t="str">
        <f aca="false">IF(OR(K22="",L22="",M22=""),"",K22+L22+M22)</f>
        <v/>
      </c>
      <c r="O22" s="17"/>
      <c r="P22" s="17"/>
      <c r="Q22" s="17"/>
      <c r="R22" s="17" t="str">
        <f aca="false">IF(OR(O22="",P22="",Q22=""),"",O22+P22+Q22)</f>
        <v/>
      </c>
      <c r="S22" s="17" t="n">
        <f aca="false">IF(COUNTA(E22:R22)=0,"",SUM(E22,F22,J22,N22,R22))</f>
        <v>0</v>
      </c>
      <c r="T22" s="17" t="str">
        <f aca="false">IF(S22="","",IF(S22&gt;=45,"A",IF(S22&gt;=35,"B",IF(S22&gt;=25,"C",IF(S22&gt;=15,"D","F")))))</f>
        <v>F</v>
      </c>
      <c r="U22" s="17" t="n">
        <f aca="false">IF(S22="","",RANK(S22,$S$3:$S$22,0))</f>
        <v>1</v>
      </c>
    </row>
  </sheetData>
  <mergeCells count="7">
    <mergeCell ref="A1:A2"/>
    <mergeCell ref="B1:B2"/>
    <mergeCell ref="C1:C2"/>
    <mergeCell ref="D1:D2"/>
    <mergeCell ref="G1:J1"/>
    <mergeCell ref="K1:N1"/>
    <mergeCell ref="O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8" min="3" style="0" width="14"/>
  </cols>
  <sheetData>
    <row r="1" customFormat="false" ht="17.35" hidden="false" customHeight="false" outlineLevel="0" collapsed="false">
      <c r="A1" s="19" t="s">
        <v>22</v>
      </c>
      <c r="B1" s="19"/>
      <c r="C1" s="19"/>
      <c r="D1" s="19"/>
      <c r="E1" s="19"/>
      <c r="F1" s="19"/>
      <c r="G1" s="19"/>
      <c r="H1" s="19"/>
    </row>
    <row r="3" customFormat="false" ht="17.15" hidden="false" customHeight="false" outlineLevel="0" collapsed="false">
      <c r="A3" s="20" t="s">
        <v>23</v>
      </c>
      <c r="B3" s="21" t="s">
        <v>24</v>
      </c>
      <c r="C3" s="22" t="s">
        <v>25</v>
      </c>
    </row>
    <row r="4" customFormat="false" ht="15" hidden="false" customHeight="false" outlineLevel="0" collapsed="false">
      <c r="A4" s="20" t="s">
        <v>26</v>
      </c>
      <c r="B4" s="21"/>
      <c r="C4" s="23" t="s">
        <v>27</v>
      </c>
    </row>
    <row r="6" customFormat="false" ht="30" hidden="false" customHeight="true" outlineLevel="0" collapsed="false">
      <c r="A6" s="24" t="s">
        <v>28</v>
      </c>
      <c r="B6" s="24"/>
      <c r="C6" s="24"/>
      <c r="D6" s="24"/>
      <c r="E6" s="24"/>
      <c r="F6" s="24"/>
      <c r="G6" s="24"/>
      <c r="H6" s="24"/>
    </row>
    <row r="7" customFormat="false" ht="17.15" hidden="false" customHeight="false" outlineLevel="0" collapsed="false">
      <c r="A7" s="20" t="s">
        <v>29</v>
      </c>
      <c r="B7" s="25" t="n">
        <f aca="false">B4</f>
        <v>0</v>
      </c>
      <c r="D7" s="20" t="s">
        <v>30</v>
      </c>
      <c r="E7" s="25" t="str">
        <f aca="true">IFERROR(VLOOKUP(B4,INDIRECT("'"&amp;B3&amp;"'!C:D"),2,FALSE()),"")</f>
        <v/>
      </c>
      <c r="G7" s="20" t="s">
        <v>31</v>
      </c>
      <c r="H7" s="25" t="str">
        <f aca="false">B3</f>
        <v>1반</v>
      </c>
    </row>
    <row r="9" customFormat="false" ht="25.5" hidden="false" customHeight="true" outlineLevel="0" collapsed="false">
      <c r="A9" s="26" t="s">
        <v>32</v>
      </c>
      <c r="B9" s="26"/>
      <c r="C9" s="26"/>
      <c r="D9" s="26"/>
      <c r="E9" s="26"/>
      <c r="F9" s="26"/>
      <c r="G9" s="26"/>
      <c r="H9" s="26"/>
    </row>
    <row r="10" customFormat="false" ht="15" hidden="false" customHeight="true" outlineLevel="0" collapsed="false">
      <c r="A10" s="27" t="s">
        <v>33</v>
      </c>
      <c r="B10" s="27" t="s">
        <v>34</v>
      </c>
      <c r="C10" s="27"/>
      <c r="D10" s="27" t="s">
        <v>35</v>
      </c>
      <c r="E10" s="27" t="s">
        <v>36</v>
      </c>
      <c r="F10" s="28"/>
      <c r="G10" s="28"/>
      <c r="H10" s="28"/>
    </row>
    <row r="11" customFormat="false" ht="24.6" hidden="false" customHeight="true" outlineLevel="0" collapsed="false">
      <c r="A11" s="13" t="s">
        <v>37</v>
      </c>
      <c r="B11" s="14" t="s">
        <v>38</v>
      </c>
      <c r="C11" s="14"/>
      <c r="D11" s="13" t="s">
        <v>39</v>
      </c>
      <c r="E11" s="29" t="str">
        <f aca="true">IFERROR(VLOOKUP($B$4,INDIRECT("'"&amp;$B$3&amp;"'!$C:$U"),3,FALSE()),"")</f>
        <v/>
      </c>
      <c r="F11" s="30"/>
      <c r="G11" s="30"/>
      <c r="H11" s="30"/>
    </row>
    <row r="12" customFormat="false" ht="24.6" hidden="false" customHeight="true" outlineLevel="0" collapsed="false">
      <c r="A12" s="13" t="s">
        <v>40</v>
      </c>
      <c r="B12" s="14" t="s">
        <v>38</v>
      </c>
      <c r="C12" s="14"/>
      <c r="D12" s="13" t="s">
        <v>39</v>
      </c>
      <c r="E12" s="29" t="str">
        <f aca="true">IFERROR(VLOOKUP($B$4,INDIRECT("'"&amp;$B$3&amp;"'!$C:$U"),4,FALSE()),"")</f>
        <v/>
      </c>
      <c r="F12" s="30"/>
      <c r="G12" s="30"/>
      <c r="H12" s="30"/>
    </row>
    <row r="13" customFormat="false" ht="15" hidden="false" customHeight="false" outlineLevel="0" collapsed="false">
      <c r="A13" s="31"/>
      <c r="B13" s="31"/>
      <c r="C13" s="31"/>
      <c r="D13" s="32" t="s">
        <v>41</v>
      </c>
      <c r="E13" s="33" t="str">
        <f aca="false">IF(AND(E11&lt;&gt;"",E12&lt;&gt;""),E11+E12,"")</f>
        <v/>
      </c>
      <c r="F13" s="34" t="s">
        <v>42</v>
      </c>
      <c r="G13" s="31"/>
      <c r="H13" s="31"/>
    </row>
    <row r="15" customFormat="false" ht="17.15" hidden="false" customHeight="false" outlineLevel="0" collapsed="false">
      <c r="A15" s="26" t="s">
        <v>43</v>
      </c>
      <c r="B15" s="26"/>
      <c r="C15" s="26"/>
      <c r="D15" s="26"/>
      <c r="E15" s="26"/>
      <c r="F15" s="26"/>
      <c r="G15" s="26"/>
      <c r="H15" s="26"/>
    </row>
    <row r="16" customFormat="false" ht="15" hidden="false" customHeight="false" outlineLevel="0" collapsed="false">
      <c r="A16" s="35" t="s">
        <v>44</v>
      </c>
      <c r="B16" s="35"/>
      <c r="C16" s="35"/>
      <c r="D16" s="36"/>
      <c r="E16" s="36"/>
      <c r="F16" s="36"/>
      <c r="G16" s="36"/>
      <c r="H16" s="36"/>
    </row>
    <row r="17" customFormat="false" ht="15" hidden="false" customHeight="true" outlineLevel="0" collapsed="false">
      <c r="A17" s="30"/>
      <c r="B17" s="14" t="s">
        <v>45</v>
      </c>
      <c r="C17" s="14"/>
      <c r="D17" s="13" t="s">
        <v>46</v>
      </c>
      <c r="E17" s="29" t="str">
        <f aca="true">IFERROR(VLOOKUP($B$4,INDIRECT("'"&amp;$B$3&amp;"'!$C:$U"),5,FALSE()),"")</f>
        <v/>
      </c>
      <c r="F17" s="30"/>
      <c r="G17" s="30"/>
      <c r="H17" s="30"/>
    </row>
    <row r="18" customFormat="false" ht="15" hidden="false" customHeight="true" outlineLevel="0" collapsed="false">
      <c r="A18" s="30"/>
      <c r="B18" s="14" t="s">
        <v>47</v>
      </c>
      <c r="C18" s="14"/>
      <c r="D18" s="13" t="s">
        <v>46</v>
      </c>
      <c r="E18" s="29" t="str">
        <f aca="true">IFERROR(VLOOKUP($B$4,INDIRECT("'"&amp;$B$3&amp;"'!$C:$U"),6,FALSE()),"")</f>
        <v/>
      </c>
      <c r="F18" s="30"/>
      <c r="G18" s="30"/>
      <c r="H18" s="30"/>
    </row>
    <row r="19" customFormat="false" ht="15" hidden="false" customHeight="true" outlineLevel="0" collapsed="false">
      <c r="A19" s="30"/>
      <c r="B19" s="14" t="s">
        <v>48</v>
      </c>
      <c r="C19" s="14"/>
      <c r="D19" s="13" t="s">
        <v>49</v>
      </c>
      <c r="E19" s="29" t="str">
        <f aca="true">IFERROR(VLOOKUP($B$4,INDIRECT("'"&amp;$B$3&amp;"'!$C:$U"),7,FALSE()),"")</f>
        <v/>
      </c>
      <c r="F19" s="30"/>
      <c r="G19" s="30"/>
      <c r="H19" s="30"/>
    </row>
    <row r="20" customFormat="false" ht="15" hidden="false" customHeight="false" outlineLevel="0" collapsed="false">
      <c r="A20" s="31"/>
      <c r="B20" s="31"/>
      <c r="C20" s="31"/>
      <c r="D20" s="32" t="s">
        <v>41</v>
      </c>
      <c r="E20" s="33" t="str">
        <f aca="true">IFERROR(VLOOKUP($B$4,INDIRECT("'"&amp;$B$3&amp;"'!$C:$U"),8,FALSE()),"")</f>
        <v/>
      </c>
      <c r="F20" s="34" t="s">
        <v>50</v>
      </c>
      <c r="G20" s="31"/>
      <c r="H20" s="31"/>
    </row>
    <row r="21" customFormat="false" ht="15" hidden="false" customHeight="false" outlineLevel="0" collapsed="false">
      <c r="A21" s="37" t="s">
        <v>51</v>
      </c>
      <c r="B21" s="37"/>
      <c r="C21" s="37"/>
      <c r="D21" s="38"/>
      <c r="E21" s="38"/>
      <c r="F21" s="38"/>
      <c r="G21" s="38"/>
      <c r="H21" s="38"/>
    </row>
    <row r="22" customFormat="false" ht="15" hidden="false" customHeight="true" outlineLevel="0" collapsed="false">
      <c r="A22" s="30"/>
      <c r="B22" s="14" t="s">
        <v>52</v>
      </c>
      <c r="C22" s="14"/>
      <c r="D22" s="13" t="s">
        <v>46</v>
      </c>
      <c r="E22" s="29" t="str">
        <f aca="true">IFERROR(VLOOKUP($B$4,INDIRECT("'"&amp;$B$3&amp;"'!$C:$U"),9,FALSE()),"")</f>
        <v/>
      </c>
      <c r="F22" s="30"/>
      <c r="G22" s="30"/>
      <c r="H22" s="30"/>
    </row>
    <row r="23" customFormat="false" ht="15" hidden="false" customHeight="true" outlineLevel="0" collapsed="false">
      <c r="A23" s="30"/>
      <c r="B23" s="14" t="s">
        <v>53</v>
      </c>
      <c r="C23" s="14"/>
      <c r="D23" s="13" t="s">
        <v>46</v>
      </c>
      <c r="E23" s="29" t="str">
        <f aca="true">IFERROR(VLOOKUP($B$4,INDIRECT("'"&amp;$B$3&amp;"'!$C:$U"),10,FALSE()),"")</f>
        <v/>
      </c>
      <c r="F23" s="30"/>
      <c r="G23" s="30"/>
      <c r="H23" s="30"/>
    </row>
    <row r="24" customFormat="false" ht="15" hidden="false" customHeight="true" outlineLevel="0" collapsed="false">
      <c r="A24" s="30"/>
      <c r="B24" s="14" t="s">
        <v>48</v>
      </c>
      <c r="C24" s="14"/>
      <c r="D24" s="13" t="s">
        <v>49</v>
      </c>
      <c r="E24" s="29" t="str">
        <f aca="true">IFERROR(VLOOKUP($B$4,INDIRECT("'"&amp;$B$3&amp;"'!$C:$U"),11,FALSE()),"")</f>
        <v/>
      </c>
      <c r="F24" s="30"/>
      <c r="G24" s="30"/>
      <c r="H24" s="30"/>
    </row>
    <row r="25" customFormat="false" ht="15" hidden="false" customHeight="false" outlineLevel="0" collapsed="false">
      <c r="A25" s="31"/>
      <c r="B25" s="31"/>
      <c r="C25" s="31"/>
      <c r="D25" s="32" t="s">
        <v>41</v>
      </c>
      <c r="E25" s="33" t="str">
        <f aca="true">IFERROR(VLOOKUP($B$4,INDIRECT("'"&amp;$B$3&amp;"'!$C:$U"),12,FALSE()),"")</f>
        <v/>
      </c>
      <c r="F25" s="34" t="s">
        <v>50</v>
      </c>
      <c r="G25" s="31"/>
      <c r="H25" s="31"/>
    </row>
    <row r="26" customFormat="false" ht="15" hidden="false" customHeight="false" outlineLevel="0" collapsed="false">
      <c r="A26" s="39"/>
      <c r="B26" s="39"/>
      <c r="C26" s="39"/>
      <c r="D26" s="40" t="s">
        <v>54</v>
      </c>
      <c r="E26" s="41" t="str">
        <f aca="false">IF(AND(E20&lt;&gt;"",E25&lt;&gt;""),E20+E25,"")</f>
        <v/>
      </c>
      <c r="F26" s="42" t="s">
        <v>55</v>
      </c>
      <c r="G26" s="39"/>
      <c r="H26" s="39"/>
    </row>
    <row r="28" customFormat="false" ht="17.15" hidden="false" customHeight="false" outlineLevel="0" collapsed="false">
      <c r="A28" s="26" t="s">
        <v>56</v>
      </c>
      <c r="B28" s="26"/>
      <c r="C28" s="26"/>
      <c r="D28" s="26"/>
      <c r="E28" s="26"/>
      <c r="F28" s="26"/>
      <c r="G28" s="26"/>
      <c r="H28" s="26"/>
    </row>
    <row r="29" customFormat="false" ht="15" hidden="false" customHeight="false" outlineLevel="0" collapsed="false">
      <c r="A29" s="43" t="s">
        <v>57</v>
      </c>
      <c r="B29" s="43"/>
      <c r="C29" s="43"/>
      <c r="D29" s="44"/>
      <c r="E29" s="44"/>
      <c r="F29" s="44"/>
      <c r="G29" s="44"/>
      <c r="H29" s="44"/>
    </row>
    <row r="30" customFormat="false" ht="15" hidden="false" customHeight="true" outlineLevel="0" collapsed="false">
      <c r="A30" s="30"/>
      <c r="B30" s="14" t="s">
        <v>58</v>
      </c>
      <c r="C30" s="14"/>
      <c r="D30" s="13" t="s">
        <v>46</v>
      </c>
      <c r="E30" s="29" t="str">
        <f aca="true">IFERROR(VLOOKUP($B$4,INDIRECT("'"&amp;$B$3&amp;"'!$C:$U"),13,FALSE()),"")</f>
        <v/>
      </c>
      <c r="F30" s="30"/>
      <c r="G30" s="30"/>
      <c r="H30" s="30"/>
    </row>
    <row r="31" customFormat="false" ht="15" hidden="false" customHeight="true" outlineLevel="0" collapsed="false">
      <c r="A31" s="30"/>
      <c r="B31" s="14" t="s">
        <v>59</v>
      </c>
      <c r="C31" s="14"/>
      <c r="D31" s="13" t="s">
        <v>46</v>
      </c>
      <c r="E31" s="29" t="str">
        <f aca="true">IFERROR(VLOOKUP($B$4,INDIRECT("'"&amp;$B$3&amp;"'!$C:$U"),14,FALSE()),"")</f>
        <v/>
      </c>
      <c r="F31" s="30"/>
      <c r="G31" s="30"/>
      <c r="H31" s="30"/>
    </row>
    <row r="32" customFormat="false" ht="15" hidden="false" customHeight="true" outlineLevel="0" collapsed="false">
      <c r="A32" s="30"/>
      <c r="B32" s="14" t="s">
        <v>48</v>
      </c>
      <c r="C32" s="14"/>
      <c r="D32" s="13" t="s">
        <v>49</v>
      </c>
      <c r="E32" s="29" t="str">
        <f aca="true">IFERROR(VLOOKUP($B$4,INDIRECT("'"&amp;$B$3&amp;"'!$C:$U"),15,FALSE()),"")</f>
        <v/>
      </c>
      <c r="F32" s="30"/>
      <c r="G32" s="30"/>
      <c r="H32" s="30"/>
    </row>
    <row r="33" customFormat="false" ht="15" hidden="false" customHeight="false" outlineLevel="0" collapsed="false">
      <c r="A33" s="31"/>
      <c r="B33" s="31"/>
      <c r="C33" s="31"/>
      <c r="D33" s="32" t="s">
        <v>41</v>
      </c>
      <c r="E33" s="33" t="str">
        <f aca="true">IFERROR(VLOOKUP($B$4,INDIRECT("'"&amp;$B$3&amp;"'!$C:$U"),16,FALSE()),"")</f>
        <v/>
      </c>
      <c r="F33" s="34" t="s">
        <v>50</v>
      </c>
      <c r="G33" s="31"/>
      <c r="H33" s="31"/>
    </row>
    <row r="35" customFormat="false" ht="27.75" hidden="false" customHeight="true" outlineLevel="0" collapsed="false">
      <c r="A35" s="45" t="s">
        <v>60</v>
      </c>
      <c r="B35" s="45"/>
      <c r="C35" s="45"/>
      <c r="D35" s="45"/>
      <c r="E35" s="45"/>
      <c r="F35" s="45"/>
      <c r="G35" s="45"/>
      <c r="H35" s="45"/>
    </row>
    <row r="36" customFormat="false" ht="19.7" hidden="false" customHeight="true" outlineLevel="0" collapsed="false">
      <c r="A36" s="46" t="s">
        <v>9</v>
      </c>
      <c r="B36" s="46"/>
      <c r="C36" s="46"/>
      <c r="D36" s="46"/>
      <c r="E36" s="47" t="str">
        <f aca="true">IFERROR(VLOOKUP($B$4,INDIRECT("'"&amp;$B$3&amp;"'!$C:$U"),17,FALSE()),"")</f>
        <v/>
      </c>
      <c r="F36" s="48" t="s">
        <v>61</v>
      </c>
      <c r="G36" s="30"/>
      <c r="H36" s="30"/>
    </row>
    <row r="37" customFormat="false" ht="19.7" hidden="false" customHeight="true" outlineLevel="0" collapsed="false">
      <c r="A37" s="46" t="s">
        <v>10</v>
      </c>
      <c r="B37" s="46"/>
      <c r="C37" s="46"/>
      <c r="D37" s="46"/>
      <c r="E37" s="49" t="str">
        <f aca="true">IFERROR(VLOOKUP($B$4,INDIRECT("'"&amp;$B$3&amp;"'!$C:$U"),18,FALSE()),"")</f>
        <v/>
      </c>
      <c r="F37" s="30"/>
      <c r="G37" s="30"/>
      <c r="H37" s="30"/>
    </row>
    <row r="38" customFormat="false" ht="19.7" hidden="false" customHeight="true" outlineLevel="0" collapsed="false">
      <c r="A38" s="46" t="s">
        <v>11</v>
      </c>
      <c r="B38" s="46"/>
      <c r="C38" s="46"/>
      <c r="D38" s="46"/>
      <c r="E38" s="50" t="str">
        <f aca="true">IFERROR(VLOOKUP($B$4,INDIRECT("'"&amp;$B$3&amp;"'!$C:$U"),19,FALSE()),"")</f>
        <v/>
      </c>
      <c r="F38" s="51" t="str">
        <f aca="true">IFERROR("/ "&amp;COUNTA(INDIRECT("'"&amp;$B$3&amp;"'!C3:C22"))&amp;"명","")</f>
        <v>/ 0명</v>
      </c>
      <c r="G38" s="30"/>
      <c r="H38" s="30"/>
    </row>
    <row r="40" customFormat="false" ht="15" hidden="false" customHeight="false" outlineLevel="0" collapsed="false">
      <c r="A40" s="52" t="s">
        <v>62</v>
      </c>
      <c r="B40" s="52"/>
      <c r="C40" s="52"/>
      <c r="D40" s="52"/>
    </row>
    <row r="41" customFormat="false" ht="15" hidden="false" customHeight="false" outlineLevel="0" collapsed="false">
      <c r="A41" s="27" t="s">
        <v>10</v>
      </c>
      <c r="B41" s="27" t="s">
        <v>63</v>
      </c>
      <c r="C41" s="27" t="s">
        <v>64</v>
      </c>
    </row>
    <row r="42" customFormat="false" ht="15" hidden="false" customHeight="false" outlineLevel="0" collapsed="false">
      <c r="A42" s="53" t="s">
        <v>65</v>
      </c>
      <c r="B42" s="53" t="s">
        <v>66</v>
      </c>
      <c r="C42" s="54" t="s">
        <v>67</v>
      </c>
    </row>
    <row r="43" customFormat="false" ht="15" hidden="false" customHeight="false" outlineLevel="0" collapsed="false">
      <c r="A43" s="53" t="s">
        <v>68</v>
      </c>
      <c r="B43" s="53" t="s">
        <v>69</v>
      </c>
      <c r="C43" s="54" t="s">
        <v>70</v>
      </c>
    </row>
    <row r="44" customFormat="false" ht="15" hidden="false" customHeight="false" outlineLevel="0" collapsed="false">
      <c r="A44" s="53" t="s">
        <v>71</v>
      </c>
      <c r="B44" s="53" t="s">
        <v>72</v>
      </c>
      <c r="C44" s="54" t="s">
        <v>73</v>
      </c>
    </row>
    <row r="45" customFormat="false" ht="15" hidden="false" customHeight="false" outlineLevel="0" collapsed="false">
      <c r="A45" s="53" t="s">
        <v>74</v>
      </c>
      <c r="B45" s="53" t="s">
        <v>75</v>
      </c>
      <c r="C45" s="54" t="s">
        <v>76</v>
      </c>
    </row>
    <row r="46" customFormat="false" ht="15" hidden="false" customHeight="false" outlineLevel="0" collapsed="false">
      <c r="A46" s="53" t="s">
        <v>77</v>
      </c>
      <c r="B46" s="53" t="s">
        <v>78</v>
      </c>
      <c r="C46" s="54" t="s">
        <v>79</v>
      </c>
    </row>
    <row r="48" customFormat="false" ht="14.15" hidden="false" customHeight="false" outlineLevel="0" collapsed="false">
      <c r="A48" s="52" t="s">
        <v>80</v>
      </c>
      <c r="B48" s="52"/>
      <c r="C48" s="52"/>
      <c r="D48" s="52"/>
      <c r="E48" s="52"/>
      <c r="F48" s="52"/>
      <c r="G48" s="52"/>
      <c r="H48" s="52"/>
    </row>
    <row r="49" customFormat="false" ht="15" hidden="false" customHeight="false" outlineLevel="0" collapsed="false">
      <c r="A49" s="30"/>
      <c r="B49" s="30"/>
      <c r="C49" s="30"/>
      <c r="D49" s="30"/>
      <c r="E49" s="30"/>
      <c r="F49" s="30"/>
      <c r="G49" s="30"/>
      <c r="H49" s="30"/>
    </row>
    <row r="50" customFormat="false" ht="15" hidden="false" customHeight="false" outlineLevel="0" collapsed="false">
      <c r="A50" s="30"/>
      <c r="B50" s="30"/>
      <c r="C50" s="30"/>
      <c r="D50" s="30"/>
      <c r="E50" s="30"/>
      <c r="F50" s="30"/>
      <c r="G50" s="30"/>
      <c r="H50" s="30"/>
    </row>
    <row r="51" customFormat="false" ht="15" hidden="false" customHeight="false" outlineLevel="0" collapsed="false">
      <c r="A51" s="30"/>
      <c r="B51" s="30"/>
      <c r="C51" s="30"/>
      <c r="D51" s="30"/>
      <c r="E51" s="30"/>
      <c r="F51" s="30"/>
      <c r="G51" s="30"/>
      <c r="H51" s="30"/>
    </row>
  </sheetData>
  <mergeCells count="28">
    <mergeCell ref="A1:H1"/>
    <mergeCell ref="A6:H6"/>
    <mergeCell ref="A9:H9"/>
    <mergeCell ref="B10:C10"/>
    <mergeCell ref="B11:C11"/>
    <mergeCell ref="B12:C12"/>
    <mergeCell ref="A13:C13"/>
    <mergeCell ref="A15:H15"/>
    <mergeCell ref="A16:C16"/>
    <mergeCell ref="B17:C17"/>
    <mergeCell ref="B18:C18"/>
    <mergeCell ref="B19:C19"/>
    <mergeCell ref="A21:C21"/>
    <mergeCell ref="B22:C22"/>
    <mergeCell ref="B23:C23"/>
    <mergeCell ref="B24:C24"/>
    <mergeCell ref="A28:H28"/>
    <mergeCell ref="A29:C29"/>
    <mergeCell ref="B30:C30"/>
    <mergeCell ref="B31:C31"/>
    <mergeCell ref="B32:C32"/>
    <mergeCell ref="A35:H35"/>
    <mergeCell ref="A36:D36"/>
    <mergeCell ref="A37:D37"/>
    <mergeCell ref="A38:D38"/>
    <mergeCell ref="A40:D40"/>
    <mergeCell ref="A48:H48"/>
    <mergeCell ref="A49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2026-02-07T10:23:36Z</dcterms:created>
  <dc:creator>openpyxl</dc:creator>
  <dc:description/>
  <dc:language>en-US</dc:language>
  <cp:lastModifiedBy/>
  <dcterms:modified xsi:type="dcterms:W3CDTF">2026-02-07T10:23:36Z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