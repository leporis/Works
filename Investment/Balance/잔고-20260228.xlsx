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문서정보" sheetId="1" state="visible" r:id="rId3"/>
    <sheet name="주식잔고" sheetId="2" state="visible" r:id="rId4"/>
    <sheet name="매매이력" sheetId="3" state="visible" r:id="rId5"/>
    <sheet name="손익요약" sheetId="4" state="visible" r:id="rId6"/>
    <sheet name="종가이력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<sst xmlns="http://schemas.openxmlformats.org/spreadsheetml/2006/main" count="310" uniqueCount="183">
  <si>
    <t xml:space="preserve">주식 잔고 관리 파일</t>
  </si>
  <si>
    <t xml:space="preserve">문서 버전: v1.9.0.0</t>
  </si>
  <si>
    <t xml:space="preserve">기준일: 2026-02-28 (토) 종가 기준 | 3월부터 매매이력 재계산</t>
  </si>
  <si>
    <t xml:space="preserve">시트 구성</t>
  </si>
  <si>
    <t xml:space="preserve">#</t>
  </si>
  <si>
    <t xml:space="preserve">시트명</t>
  </si>
  <si>
    <t xml:space="preserve">내용</t>
  </si>
  <si>
    <t xml:space="preserve">문서정보</t>
  </si>
  <si>
    <t xml:space="preserve">버전 정보, 참고자료, 수정 이력</t>
  </si>
  <si>
    <t xml:space="preserve">주식잔고</t>
  </si>
  <si>
    <t xml:space="preserve">보유 종목 현황 (종목코드, 종목명, 매입가, 보유수량, 현재가, 평가손익, 수익률)</t>
  </si>
  <si>
    <t xml:space="preserve">매매이력</t>
  </si>
  <si>
    <t xml:space="preserve">거래 기록 (날짜, 종목명, 구분, 수량, 단가, 거래금액, 수수료, 실현손익, 수익률, 비고)</t>
  </si>
  <si>
    <t xml:space="preserve">손익요약</t>
  </si>
  <si>
    <t xml:space="preserve">투자 손익 요약 (투자원금, 현재평가액, 실현손익, 평가손익, 수익률, 총손익)</t>
  </si>
  <si>
    <t xml:space="preserve">참고자료</t>
  </si>
  <si>
    <t xml:space="preserve">자료명</t>
  </si>
  <si>
    <t xml:space="preserve">유형</t>
  </si>
  <si>
    <t xml:space="preserve">비고</t>
  </si>
  <si>
    <t xml:space="preserve">계좌관리지침_v1.0.0.0</t>
  </si>
  <si>
    <t xml:space="preserve">문서</t>
  </si>
  <si>
    <t xml:space="preserve">계좌 관리 규칙</t>
  </si>
  <si>
    <t xml:space="preserve">문서버전관리가이드_v1.2.2</t>
  </si>
  <si>
    <t xml:space="preserve">문서 작성 표준</t>
  </si>
  <si>
    <t xml:space="preserve">주식잔고_작업지시_프롬프트_v1.0.0.1</t>
  </si>
  <si>
    <t xml:space="preserve">작업 지시 형식</t>
  </si>
  <si>
    <t xml:space="preserve">포트폴리오운영전략_v1.1.0.0</t>
  </si>
  <si>
    <t xml:space="preserve">운영 전략</t>
  </si>
  <si>
    <t xml:space="preserve">생성/수정 이력</t>
  </si>
  <si>
    <t xml:space="preserve">버전</t>
  </si>
  <si>
    <t xml:space="preserve">날짜</t>
  </si>
  <si>
    <t xml:space="preserve">시간</t>
  </si>
  <si>
    <t xml:space="preserve">변경 수준</t>
  </si>
  <si>
    <t xml:space="preserve">변경 내용</t>
  </si>
  <si>
    <t xml:space="preserve">작성자</t>
  </si>
  <si>
    <t xml:space="preserve">v1.0.0.0</t>
  </si>
  <si>
    <t xml:space="preserve">2026-01-23</t>
  </si>
  <si>
    <t xml:space="preserve">12:30</t>
  </si>
  <si>
    <t xml:space="preserve">최초</t>
  </si>
  <si>
    <t xml:space="preserve">잔고 파일 생성 (20종목, 22포지션), 1/23 종가 반영, 문서정보 시트 추가</t>
  </si>
  <si>
    <t xml:space="preserve">Claude</t>
  </si>
  <si>
    <t xml:space="preserve">v1.0.1.0</t>
  </si>
  <si>
    <t xml:space="preserve">2026-01-26</t>
  </si>
  <si>
    <t xml:space="preserve">12:50</t>
  </si>
  <si>
    <t xml:space="preserve">리비전</t>
  </si>
  <si>
    <t xml:space="preserve">한농화성 신규 매수 (200주 @ 26,750원)</t>
  </si>
  <si>
    <t xml:space="preserve">v1.0.2.0</t>
  </si>
  <si>
    <t xml:space="preserve">12:55</t>
  </si>
  <si>
    <r>
      <rPr>
        <sz val="11"/>
        <color theme="1"/>
        <rFont val="Calibri"/>
        <family val="2"/>
        <charset val="1"/>
      </rPr>
      <t xml:space="preserve">2026-01-26 </t>
    </r>
    <r>
      <rPr>
        <sz val="11"/>
        <color theme="1"/>
        <rFont val="Noto Sans CJK SC"/>
        <family val="2"/>
      </rPr>
      <t xml:space="preserve">당일 종가 업데이트 </t>
    </r>
    <r>
      <rPr>
        <sz val="11"/>
        <color theme="1"/>
        <rFont val="Calibri"/>
        <family val="2"/>
        <charset val="1"/>
      </rPr>
      <t xml:space="preserve">(21</t>
    </r>
    <r>
      <rPr>
        <sz val="11"/>
        <color theme="1"/>
        <rFont val="Noto Sans CJK SC"/>
        <family val="2"/>
      </rPr>
      <t xml:space="preserve">종목</t>
    </r>
    <r>
      <rPr>
        <sz val="11"/>
        <color theme="1"/>
        <rFont val="Calibri"/>
        <family val="2"/>
        <charset val="1"/>
      </rPr>
      <t xml:space="preserve">)</t>
    </r>
  </si>
  <si>
    <t xml:space="preserve">v1.0.2.1</t>
  </si>
  <si>
    <t xml:space="preserve">13:00</t>
  </si>
  <si>
    <t xml:space="preserve">패치</t>
  </si>
  <si>
    <t xml:space="preserve">평가손익/수익률 색상 적용 (양수:빨강, 음수:파랑)</t>
  </si>
  <si>
    <t xml:space="preserve">v1.0.3.0</t>
  </si>
  <si>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개 </t>
    </r>
    <r>
      <rPr>
        <sz val="11"/>
        <color theme="1"/>
        <rFont val="Calibri"/>
        <family val="2"/>
        <charset val="1"/>
      </rPr>
      <t xml:space="preserve">(26</t>
    </r>
    <r>
      <rPr>
        <sz val="11"/>
        <color theme="1"/>
        <rFont val="Noto Sans CJK SC"/>
        <family val="2"/>
      </rPr>
      <t xml:space="preserve">개 포지션</t>
    </r>
    <r>
      <rPr>
        <sz val="11"/>
        <color theme="1"/>
        <rFont val="Calibri"/>
        <family val="2"/>
        <charset val="1"/>
      </rPr>
      <t xml:space="preserve">)</t>
    </r>
  </si>
  <si>
    <t xml:space="preserve">한농화성 매수 기록 매매이력 시트에 추가</t>
  </si>
  <si>
    <t xml:space="preserve">v1.0.4.0</t>
  </si>
  <si>
    <t xml:space="preserve">2026-01-27</t>
  </si>
  <si>
    <t xml:space="preserve">13:40</t>
  </si>
  <si>
    <t xml:space="preserve">마이너</t>
  </si>
  <si>
    <t xml:space="preserve">하나마이크론 5개 포지션으로 수정 (실제 잔고 반영)</t>
  </si>
  <si>
    <t xml:space="preserve">v1.0.5.0</t>
  </si>
  <si>
    <t xml:space="preserve">14:00</t>
  </si>
  <si>
    <t xml:space="preserve">하나마이크론 590주 매도(+2,239,360원), 티엠씨 600주 매수</t>
  </si>
  <si>
    <t xml:space="preserve">v1.0.5.1</t>
  </si>
  <si>
    <t xml:space="preserve">14:05</t>
  </si>
  <si>
    <t xml:space="preserve">v1.0.6.0</t>
  </si>
  <si>
    <t xml:space="preserve">14:10</t>
  </si>
  <si>
    <r>
      <rPr>
        <sz val="11"/>
        <color theme="1"/>
        <rFont val="Calibri"/>
        <family val="2"/>
        <charset val="1"/>
      </rPr>
      <t xml:space="preserve">2026-01-27 </t>
    </r>
    <r>
      <rPr>
        <sz val="11"/>
        <color theme="1"/>
        <rFont val="Noto Sans CJK SC"/>
        <family val="2"/>
      </rPr>
      <t xml:space="preserve">당일 종가 업데이트 </t>
    </r>
    <r>
      <rPr>
        <sz val="11"/>
        <color theme="1"/>
        <rFont val="Calibri"/>
        <family val="2"/>
        <charset val="1"/>
      </rPr>
      <t xml:space="preserve">(22</t>
    </r>
    <r>
      <rPr>
        <sz val="11"/>
        <color theme="1"/>
        <rFont val="Noto Sans CJK SC"/>
        <family val="2"/>
      </rPr>
      <t xml:space="preserve">종목</t>
    </r>
    <r>
      <rPr>
        <sz val="11"/>
        <color theme="1"/>
        <rFont val="Calibri"/>
        <family val="2"/>
        <charset val="1"/>
      </rPr>
      <t xml:space="preserve">)</t>
    </r>
  </si>
  <si>
    <t xml:space="preserve">v1.0.7.0</t>
  </si>
  <si>
    <t xml:space="preserve">2026-01-28</t>
  </si>
  <si>
    <t xml:space="preserve">15:35</t>
  </si>
  <si>
    <r>
      <rPr>
        <sz val="11"/>
        <color theme="1"/>
        <rFont val="Calibri"/>
        <family val="2"/>
        <charset val="1"/>
      </rPr>
      <t xml:space="preserve">2026-01-28 </t>
    </r>
    <r>
      <rPr>
        <sz val="11"/>
        <color theme="1"/>
        <rFont val="Noto Sans CJK SC"/>
        <family val="2"/>
      </rPr>
      <t xml:space="preserve">당일 종가 업데이트 </t>
    </r>
    <r>
      <rPr>
        <sz val="11"/>
        <color theme="1"/>
        <rFont val="Calibri"/>
        <family val="2"/>
        <charset val="1"/>
      </rPr>
      <t xml:space="preserve">(22</t>
    </r>
    <r>
      <rPr>
        <sz val="11"/>
        <color theme="1"/>
        <rFont val="Noto Sans CJK SC"/>
        <family val="2"/>
      </rPr>
      <t xml:space="preserve">종목</t>
    </r>
    <r>
      <rPr>
        <sz val="11"/>
        <color theme="1"/>
        <rFont val="Calibri"/>
        <family val="2"/>
        <charset val="1"/>
      </rPr>
      <t xml:space="preserve">)</t>
    </r>
  </si>
  <si>
    <t xml:space="preserve">v1.0.7.1</t>
  </si>
  <si>
    <t xml:space="preserve">15:40</t>
  </si>
  <si>
    <t xml:space="preserve">천보 종가 수정 (81,000 → 61,000)</t>
  </si>
  <si>
    <t xml:space="preserve">v1.0.8.0</t>
  </si>
  <si>
    <t xml:space="preserve">15:50</t>
  </si>
  <si>
    <t xml:space="preserve">필옵틱스 70주 전량 매도 (계좌2, +59,710원)</t>
  </si>
  <si>
    <t xml:space="preserve">v1.0.9.0</t>
  </si>
  <si>
    <t xml:space="preserve">2026-01-29</t>
  </si>
  <si>
    <t xml:space="preserve">16:00</t>
  </si>
  <si>
    <r>
      <rPr>
        <sz val="11"/>
        <color theme="1"/>
        <rFont val="Calibri"/>
        <family val="2"/>
        <charset val="1"/>
      </rPr>
      <t xml:space="preserve">1/29 </t>
    </r>
    <r>
      <rPr>
        <sz val="11"/>
        <color theme="1"/>
        <rFont val="Noto Sans CJK SC"/>
        <family val="2"/>
      </rPr>
      <t xml:space="preserve">종가 업데이트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코오롱인더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주 매도</t>
    </r>
    <r>
      <rPr>
        <sz val="11"/>
        <color theme="1"/>
        <rFont val="Calibri"/>
        <family val="2"/>
        <charset val="1"/>
      </rPr>
      <t xml:space="preserve">(+285,000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)</t>
    </r>
  </si>
  <si>
    <t xml:space="preserve">v1.1.1.0</t>
  </si>
  <si>
    <t xml:space="preserve">2026-01-30</t>
  </si>
  <si>
    <t xml:space="preserve">16:30</t>
  </si>
  <si>
    <r>
      <rPr>
        <sz val="11"/>
        <color theme="1"/>
        <rFont val="Calibri"/>
        <family val="2"/>
        <charset val="1"/>
      </rPr>
      <t xml:space="preserve">1/30 </t>
    </r>
    <r>
      <rPr>
        <sz val="11"/>
        <color theme="1"/>
        <rFont val="Noto Sans CJK SC"/>
        <family val="2"/>
      </rPr>
      <t xml:space="preserve">종가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한농화성 전량매도</t>
    </r>
    <r>
      <rPr>
        <sz val="11"/>
        <color theme="1"/>
        <rFont val="Calibri"/>
        <family val="2"/>
        <charset val="1"/>
      </rPr>
      <t xml:space="preserve">(+237,960), </t>
    </r>
    <r>
      <rPr>
        <sz val="11"/>
        <color theme="1"/>
        <rFont val="Noto Sans CJK SC"/>
        <family val="2"/>
      </rPr>
      <t xml:space="preserve">풍산 신규매수</t>
    </r>
  </si>
  <si>
    <t xml:space="preserve">v1.2.0.0</t>
  </si>
  <si>
    <t xml:space="preserve">2026-02-02</t>
  </si>
  <si>
    <r>
      <rPr>
        <sz val="11"/>
        <color theme="1"/>
        <rFont val="Calibri"/>
        <family val="2"/>
        <charset val="1"/>
      </rPr>
      <t xml:space="preserve">2/2 </t>
    </r>
    <r>
      <rPr>
        <sz val="11"/>
        <color theme="1"/>
        <rFont val="Noto Sans CJK SC"/>
        <family val="2"/>
      </rPr>
      <t xml:space="preserve">종가 반영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하나마이크론 신규매수 추가</t>
    </r>
  </si>
  <si>
    <t xml:space="preserve">v1.6.0.0</t>
  </si>
  <si>
    <t xml:space="preserve">2026-02-09</t>
  </si>
  <si>
    <t xml:space="preserve">18:00</t>
  </si>
  <si>
    <r>
      <rPr>
        <sz val="11"/>
        <color theme="1"/>
        <rFont val="Calibri"/>
        <family val="2"/>
        <charset val="1"/>
      </rPr>
      <t xml:space="preserve">2/9 </t>
    </r>
    <r>
      <rPr>
        <sz val="11"/>
        <color theme="1"/>
        <rFont val="Noto Sans CJK SC"/>
        <family val="2"/>
      </rPr>
      <t xml:space="preserve">종가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매매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건 반영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비에이치아이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다우데이터 신규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와이즈버즈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코오롱인더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계좌</t>
    </r>
    <r>
      <rPr>
        <sz val="11"/>
        <color theme="1"/>
        <rFont val="Calibri"/>
        <family val="2"/>
        <charset val="1"/>
      </rPr>
      <t xml:space="preserve">3) </t>
    </r>
    <r>
      <rPr>
        <sz val="11"/>
        <color theme="1"/>
        <rFont val="Noto Sans CJK SC"/>
        <family val="2"/>
      </rPr>
      <t xml:space="preserve">전량매도</t>
    </r>
  </si>
  <si>
    <t xml:space="preserve">2026-02-10</t>
  </si>
  <si>
    <r>
      <rPr>
        <sz val="11"/>
        <color theme="1"/>
        <rFont val="Calibri"/>
        <family val="2"/>
        <charset val="1"/>
      </rPr>
      <t xml:space="preserve">2/10 </t>
    </r>
    <r>
      <rPr>
        <sz val="11"/>
        <color theme="1"/>
        <rFont val="Noto Sans CJK SC"/>
        <family val="2"/>
      </rPr>
      <t xml:space="preserve">종가 업데이트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필옵틱스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주 추가 매수</t>
    </r>
  </si>
  <si>
    <t xml:space="preserve">종목코드</t>
  </si>
  <si>
    <t xml:space="preserve">종목명</t>
  </si>
  <si>
    <t xml:space="preserve">매입가</t>
  </si>
  <si>
    <t xml:space="preserve">보유수량</t>
  </si>
  <si>
    <t xml:space="preserve">현재가</t>
  </si>
  <si>
    <t xml:space="preserve">평가손익</t>
  </si>
  <si>
    <t xml:space="preserve">수익률(%)</t>
  </si>
  <si>
    <t xml:space="preserve">저항가격</t>
  </si>
  <si>
    <t xml:space="preserve">지지가격</t>
  </si>
  <si>
    <t xml:space="preserve">목표가</t>
  </si>
  <si>
    <t xml:space="preserve">024720</t>
  </si>
  <si>
    <t xml:space="preserve">콜마홀딩스</t>
  </si>
  <si>
    <t xml:space="preserve">039200</t>
  </si>
  <si>
    <t xml:space="preserve">오스코텍</t>
  </si>
  <si>
    <t xml:space="preserve">064260</t>
  </si>
  <si>
    <t xml:space="preserve">다날</t>
  </si>
  <si>
    <t xml:space="preserve">067310</t>
  </si>
  <si>
    <t xml:space="preserve">하나마이크론</t>
  </si>
  <si>
    <t xml:space="preserve">278280</t>
  </si>
  <si>
    <t xml:space="preserve">천보</t>
  </si>
  <si>
    <t xml:space="preserve">304100</t>
  </si>
  <si>
    <t xml:space="preserve">솔트룩스</t>
  </si>
  <si>
    <t xml:space="preserve">314930</t>
  </si>
  <si>
    <t xml:space="preserve">바이오다인</t>
  </si>
  <si>
    <t xml:space="preserve">321260</t>
  </si>
  <si>
    <t xml:space="preserve">프로이천</t>
  </si>
  <si>
    <t xml:space="preserve">328130</t>
  </si>
  <si>
    <t xml:space="preserve">루닛</t>
  </si>
  <si>
    <t xml:space="preserve">393210</t>
  </si>
  <si>
    <t xml:space="preserve">토마토시스템</t>
  </si>
  <si>
    <t xml:space="preserve">478340</t>
  </si>
  <si>
    <t xml:space="preserve">나라스페이스테크놀로지</t>
  </si>
  <si>
    <t xml:space="preserve">004310</t>
  </si>
  <si>
    <t xml:space="preserve">현대약품</t>
  </si>
  <si>
    <t xml:space="preserve">004560</t>
  </si>
  <si>
    <t xml:space="preserve">현대BNG스틸</t>
  </si>
  <si>
    <t xml:space="preserve">042700</t>
  </si>
  <si>
    <t xml:space="preserve">한미반도체</t>
  </si>
  <si>
    <t xml:space="preserve">067080</t>
  </si>
  <si>
    <t xml:space="preserve">대화제약</t>
  </si>
  <si>
    <t xml:space="preserve">090460</t>
  </si>
  <si>
    <t xml:space="preserve">비에이치</t>
  </si>
  <si>
    <t xml:space="preserve">103140</t>
  </si>
  <si>
    <t xml:space="preserve">풍산</t>
  </si>
  <si>
    <t xml:space="preserve">120110</t>
  </si>
  <si>
    <t xml:space="preserve">코오롱인더</t>
  </si>
  <si>
    <t xml:space="preserve">161580</t>
  </si>
  <si>
    <t xml:space="preserve">필옵틱스</t>
  </si>
  <si>
    <t xml:space="preserve">204270</t>
  </si>
  <si>
    <t xml:space="preserve">제이앤티씨</t>
  </si>
  <si>
    <t xml:space="preserve">217590</t>
  </si>
  <si>
    <t xml:space="preserve">티엠씨</t>
  </si>
  <si>
    <t xml:space="preserve">460860</t>
  </si>
  <si>
    <t xml:space="preserve">동국제강</t>
  </si>
  <si>
    <r>
      <rPr>
        <i val="true"/>
        <sz val="9"/>
        <color rgb="FF808080"/>
        <rFont val="Noto Sans CJK SC"/>
        <family val="2"/>
      </rPr>
      <t xml:space="preserve">※ 매매 이력을 입력하시면 자동으로 잔고가 업데이트됩니다</t>
    </r>
    <r>
      <rPr>
        <i val="true"/>
        <sz val="9"/>
        <color rgb="FF808080"/>
        <rFont val="Cambria"/>
        <family val="0"/>
        <charset val="1"/>
      </rPr>
      <t xml:space="preserve">.</t>
    </r>
  </si>
  <si>
    <r>
      <rPr>
        <i val="true"/>
        <sz val="9"/>
        <color rgb="FF808080"/>
        <rFont val="Noto Sans CJK SC"/>
        <family val="2"/>
      </rPr>
      <t xml:space="preserve">※ 구분</t>
    </r>
    <r>
      <rPr>
        <i val="true"/>
        <sz val="9"/>
        <color rgb="FF808080"/>
        <rFont val="Cambria"/>
        <family val="0"/>
        <charset val="1"/>
      </rPr>
      <t xml:space="preserve">: "</t>
    </r>
    <r>
      <rPr>
        <i val="true"/>
        <sz val="9"/>
        <color rgb="FF808080"/>
        <rFont val="Noto Sans CJK SC"/>
        <family val="2"/>
      </rPr>
      <t xml:space="preserve">매수</t>
    </r>
    <r>
      <rPr>
        <i val="true"/>
        <sz val="9"/>
        <color rgb="FF808080"/>
        <rFont val="Cambria"/>
        <family val="0"/>
        <charset val="1"/>
      </rPr>
      <t xml:space="preserve">" </t>
    </r>
    <r>
      <rPr>
        <i val="true"/>
        <sz val="9"/>
        <color rgb="FF808080"/>
        <rFont val="Noto Sans CJK SC"/>
        <family val="2"/>
      </rPr>
      <t xml:space="preserve">또는 </t>
    </r>
    <r>
      <rPr>
        <i val="true"/>
        <sz val="9"/>
        <color rgb="FF808080"/>
        <rFont val="Cambria"/>
        <family val="0"/>
        <charset val="1"/>
      </rPr>
      <t xml:space="preserve">"</t>
    </r>
    <r>
      <rPr>
        <i val="true"/>
        <sz val="9"/>
        <color rgb="FF808080"/>
        <rFont val="Noto Sans CJK SC"/>
        <family val="2"/>
      </rPr>
      <t xml:space="preserve">매도</t>
    </r>
    <r>
      <rPr>
        <i val="true"/>
        <sz val="9"/>
        <color rgb="FF808080"/>
        <rFont val="Cambria"/>
        <family val="0"/>
        <charset val="1"/>
      </rPr>
      <t xml:space="preserve">" </t>
    </r>
    <r>
      <rPr>
        <i val="true"/>
        <sz val="9"/>
        <color rgb="FF808080"/>
        <rFont val="Noto Sans CJK SC"/>
        <family val="2"/>
      </rPr>
      <t xml:space="preserve">입력</t>
    </r>
  </si>
  <si>
    <r>
      <rPr>
        <i val="true"/>
        <sz val="9"/>
        <color rgb="FF808080"/>
        <rFont val="Noto Sans CJK SC"/>
        <family val="2"/>
      </rPr>
      <t xml:space="preserve">※ 실현손익</t>
    </r>
    <r>
      <rPr>
        <i val="true"/>
        <sz val="9"/>
        <color rgb="FF808080"/>
        <rFont val="Cambria"/>
        <family val="0"/>
        <charset val="1"/>
      </rPr>
      <t xml:space="preserve">: </t>
    </r>
    <r>
      <rPr>
        <i val="true"/>
        <sz val="9"/>
        <color rgb="FF808080"/>
        <rFont val="Noto Sans CJK SC"/>
        <family val="2"/>
      </rPr>
      <t xml:space="preserve">매도 시 계산 </t>
    </r>
    <r>
      <rPr>
        <i val="true"/>
        <sz val="9"/>
        <color rgb="FF808080"/>
        <rFont val="Cambria"/>
        <family val="0"/>
        <charset val="1"/>
      </rPr>
      <t xml:space="preserve">= (</t>
    </r>
    <r>
      <rPr>
        <i val="true"/>
        <sz val="9"/>
        <color rgb="FF808080"/>
        <rFont val="Noto Sans CJK SC"/>
        <family val="2"/>
      </rPr>
      <t xml:space="preserve">매도가 </t>
    </r>
    <r>
      <rPr>
        <i val="true"/>
        <sz val="9"/>
        <color rgb="FF808080"/>
        <rFont val="Cambria"/>
        <family val="0"/>
        <charset val="1"/>
      </rPr>
      <t xml:space="preserve">- </t>
    </r>
    <r>
      <rPr>
        <i val="true"/>
        <sz val="9"/>
        <color rgb="FF808080"/>
        <rFont val="Noto Sans CJK SC"/>
        <family val="2"/>
      </rPr>
      <t xml:space="preserve">평균매입가</t>
    </r>
    <r>
      <rPr>
        <i val="true"/>
        <sz val="9"/>
        <color rgb="FF808080"/>
        <rFont val="Cambria"/>
        <family val="0"/>
        <charset val="1"/>
      </rPr>
      <t xml:space="preserve">) × </t>
    </r>
    <r>
      <rPr>
        <i val="true"/>
        <sz val="9"/>
        <color rgb="FF808080"/>
        <rFont val="Noto Sans CJK SC"/>
        <family val="2"/>
      </rPr>
      <t xml:space="preserve">수량 </t>
    </r>
    <r>
      <rPr>
        <i val="true"/>
        <sz val="9"/>
        <color rgb="FF808080"/>
        <rFont val="Cambria"/>
        <family val="0"/>
        <charset val="1"/>
      </rPr>
      <t xml:space="preserve">- </t>
    </r>
    <r>
      <rPr>
        <i val="true"/>
        <sz val="9"/>
        <color rgb="FF808080"/>
        <rFont val="Noto Sans CJK SC"/>
        <family val="2"/>
      </rPr>
      <t xml:space="preserve">수수료</t>
    </r>
  </si>
  <si>
    <t xml:space="preserve">구분</t>
  </si>
  <si>
    <t xml:space="preserve">수량</t>
  </si>
  <si>
    <t xml:space="preserve">단가</t>
  </si>
  <si>
    <t xml:space="preserve">거래금액</t>
  </si>
  <si>
    <t xml:space="preserve">수수료</t>
  </si>
  <si>
    <t xml:space="preserve">실현손익</t>
  </si>
  <si>
    <t xml:space="preserve">수익률</t>
  </si>
  <si>
    <r>
      <rPr>
        <b val="true"/>
        <sz val="11"/>
        <rFont val="Cambria"/>
        <family val="0"/>
        <charset val="1"/>
      </rPr>
      <t xml:space="preserve">2026-03 </t>
    </r>
    <r>
      <rPr>
        <b val="true"/>
        <sz val="11"/>
        <rFont val="Noto Sans CJK SC"/>
        <family val="2"/>
      </rPr>
      <t xml:space="preserve">소계</t>
    </r>
  </si>
  <si>
    <t xml:space="preserve">투자 손익 요약</t>
  </si>
  <si>
    <t xml:space="preserve">월별 실현손익 집계</t>
  </si>
  <si>
    <t xml:space="preserve">투자원금</t>
  </si>
  <si>
    <t xml:space="preserve">월</t>
  </si>
  <si>
    <t xml:space="preserve">매매건수</t>
  </si>
  <si>
    <t xml:space="preserve">누적손익</t>
  </si>
  <si>
    <t xml:space="preserve">현재평가액</t>
  </si>
  <si>
    <t xml:space="preserve">2026-03</t>
  </si>
  <si>
    <t xml:space="preserve">-</t>
  </si>
  <si>
    <t xml:space="preserve">2026-04</t>
  </si>
  <si>
    <t xml:space="preserve">2026-05</t>
  </si>
  <si>
    <t xml:space="preserve">2026-06</t>
  </si>
  <si>
    <t xml:space="preserve">총손익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</si>
  <si>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</si>
  <si>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</si>
  <si>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</si>
  <si>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</si>
  <si>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</si>
  <si>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</si>
  <si>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합계</t>
  </si>
  <si>
    <t xml:space="preserve">2026-02-28</t>
  </si>
  <si>
    <r>
      <rPr>
        <sz val="11"/>
        <color theme="1"/>
        <rFont val="Noto Sans CJK SC"/>
        <family val="2"/>
      </rPr>
      <t xml:space="preserve">현대</t>
    </r>
    <r>
      <rPr>
        <sz val="11"/>
        <color theme="1"/>
        <rFont val="Calibri"/>
        <family val="2"/>
        <charset val="1"/>
      </rPr>
      <t xml:space="preserve">BNG</t>
    </r>
    <r>
      <rPr>
        <sz val="11"/>
        <color theme="1"/>
        <rFont val="Noto Sans CJK SC"/>
        <family val="2"/>
      </rPr>
      <t xml:space="preserve">스틸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</si>
</sst>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  <charset val="1"/>
    </font>
    <font>
      <sz val="11"/>
      <name val="Noto Sans CJK SC"/>
      <family val="2"/>
      <charset val="1"/>
    </font>
    <font>
      <b val="true"/>
      <sz val="12"/>
      <name val="Noto Sans CJK SC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name val="Noto Sans CJK SC"/>
      <family val="2"/>
      <charset val="1"/>
    </font>
    <font>
      <i val="true"/>
      <sz val="9"/>
      <color rgb="FF808080"/>
      <name val="Noto Sans CJK SC"/>
      <family val="2"/>
    </font>
    <font>
      <i val="true"/>
      <sz val="9"/>
      <color rgb="FF808080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Noto Sans CJK SC"/>
      <family val="2"/>
    </font>
    <font>
      <b val="true"/>
      <sz val="12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3D3D3"/>
        <bgColor rgb="FFC0C0C0"/>
      </patternFill>
    </fill>
    <fill>
      <patternFill patternType="solid">
        <fgColor rgb="FF2F4F7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F7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5"/>
    <col collapsed="false" customWidth="true" hidden="false" outlineLevel="0" max="3" min="3" style="1" width="40"/>
    <col collapsed="false" customWidth="true" hidden="false" outlineLevel="0" max="4" min="4" style="1" width="15"/>
    <col collapsed="false" customWidth="true" hidden="false" outlineLevel="0" max="5" min="5" style="1" width="20"/>
    <col collapsed="false" customWidth="true" hidden="false" outlineLevel="0" max="6" min="6" style="1" width="10"/>
  </cols>
  <sheetData>
    <row r="1" customFormat="false" ht="17.25" hidden="false" customHeight="true" outlineLevel="0" collapsed="false">
      <c r="A1" s="2" t="s">
        <v>0</v>
      </c>
    </row>
    <row r="2" customFormat="false" ht="16.5" hidden="false" customHeight="true" outlineLevel="0" collapsed="false">
      <c r="A2" s="3" t="s">
        <v>1</v>
      </c>
    </row>
    <row r="3" customFormat="false" ht="16.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5" t="s">
        <v>4</v>
      </c>
      <c r="B6" s="6" t="s">
        <v>5</v>
      </c>
      <c r="C6" s="6" t="s">
        <v>6</v>
      </c>
    </row>
    <row r="7" customFormat="false" ht="16.5" hidden="false" customHeight="true" outlineLevel="0" collapsed="false">
      <c r="A7" s="7" t="n">
        <v>1</v>
      </c>
      <c r="B7" s="8" t="s">
        <v>7</v>
      </c>
      <c r="C7" s="8" t="s">
        <v>8</v>
      </c>
    </row>
    <row r="8" customFormat="false" ht="16.5" hidden="false" customHeight="true" outlineLevel="0" collapsed="false">
      <c r="A8" s="7" t="n">
        <v>2</v>
      </c>
      <c r="B8" s="8" t="s">
        <v>9</v>
      </c>
      <c r="C8" s="8" t="s">
        <v>10</v>
      </c>
    </row>
    <row r="9" customFormat="false" ht="16.5" hidden="false" customHeight="true" outlineLevel="0" collapsed="false">
      <c r="A9" s="7" t="n">
        <v>3</v>
      </c>
      <c r="B9" s="8" t="s">
        <v>11</v>
      </c>
      <c r="C9" s="8" t="s">
        <v>12</v>
      </c>
    </row>
    <row r="10" customFormat="false" ht="16.5" hidden="false" customHeight="true" outlineLevel="0" collapsed="false">
      <c r="A10" s="7" t="n">
        <v>4</v>
      </c>
      <c r="B10" s="8" t="s">
        <v>13</v>
      </c>
      <c r="C10" s="8" t="s">
        <v>14</v>
      </c>
    </row>
    <row r="13" customFormat="false" ht="15" hidden="false" customHeight="true" outlineLevel="0" collapsed="false">
      <c r="A13" s="4" t="s">
        <v>15</v>
      </c>
    </row>
    <row r="14" customFormat="false" ht="15" hidden="false" customHeight="true" outlineLevel="0" collapsed="false">
      <c r="A14" s="5" t="s">
        <v>4</v>
      </c>
      <c r="B14" s="6" t="s">
        <v>16</v>
      </c>
      <c r="C14" s="6" t="s">
        <v>17</v>
      </c>
      <c r="D14" s="6" t="s">
        <v>18</v>
      </c>
    </row>
    <row r="15" customFormat="false" ht="16.5" hidden="false" customHeight="true" outlineLevel="0" collapsed="false">
      <c r="A15" s="9" t="n">
        <v>1</v>
      </c>
      <c r="B15" s="10" t="s">
        <v>19</v>
      </c>
      <c r="C15" s="10" t="s">
        <v>20</v>
      </c>
      <c r="D15" s="10" t="s">
        <v>21</v>
      </c>
    </row>
    <row r="16" customFormat="false" ht="16.5" hidden="false" customHeight="true" outlineLevel="0" collapsed="false">
      <c r="A16" s="9" t="n">
        <v>2</v>
      </c>
      <c r="B16" s="10" t="s">
        <v>22</v>
      </c>
      <c r="C16" s="10" t="s">
        <v>20</v>
      </c>
      <c r="D16" s="10" t="s">
        <v>23</v>
      </c>
    </row>
    <row r="17" customFormat="false" ht="16.5" hidden="false" customHeight="true" outlineLevel="0" collapsed="false">
      <c r="A17" s="9" t="n">
        <v>3</v>
      </c>
      <c r="B17" s="10" t="s">
        <v>24</v>
      </c>
      <c r="C17" s="10" t="s">
        <v>20</v>
      </c>
      <c r="D17" s="10" t="s">
        <v>25</v>
      </c>
    </row>
    <row r="18" customFormat="false" ht="16.5" hidden="false" customHeight="true" outlineLevel="0" collapsed="false">
      <c r="A18" s="9" t="n">
        <v>4</v>
      </c>
      <c r="B18" s="10" t="s">
        <v>26</v>
      </c>
      <c r="C18" s="10" t="s">
        <v>20</v>
      </c>
      <c r="D18" s="10" t="s">
        <v>27</v>
      </c>
    </row>
    <row r="21" customFormat="false" ht="18.75" hidden="false" customHeight="true" outlineLevel="0" collapsed="false">
      <c r="A21" s="4" t="s">
        <v>28</v>
      </c>
    </row>
    <row r="22" customFormat="false" ht="15" hidden="false" customHeight="true" outlineLevel="0" collapsed="false">
      <c r="A22" s="6" t="s">
        <v>29</v>
      </c>
      <c r="B22" s="6" t="s">
        <v>30</v>
      </c>
      <c r="C22" s="6" t="s">
        <v>31</v>
      </c>
      <c r="D22" s="6" t="s">
        <v>32</v>
      </c>
      <c r="E22" s="6" t="s">
        <v>33</v>
      </c>
      <c r="F22" s="6" t="s">
        <v>34</v>
      </c>
    </row>
    <row r="23" customFormat="false" ht="16.5" hidden="false" customHeight="true" outlineLevel="0" collapsed="false">
      <c r="A23" s="9" t="s">
        <v>35</v>
      </c>
      <c r="B23" s="9" t="s">
        <v>36</v>
      </c>
      <c r="C23" s="9" t="s">
        <v>37</v>
      </c>
      <c r="D23" s="10" t="s">
        <v>38</v>
      </c>
      <c r="E23" s="10" t="s">
        <v>39</v>
      </c>
      <c r="F23" s="9" t="s">
        <v>40</v>
      </c>
    </row>
    <row r="24" customFormat="false" ht="16.5" hidden="false" customHeight="true" outlineLevel="0" collapsed="false">
      <c r="A24" s="1" t="s">
        <v>41</v>
      </c>
      <c r="B24" s="1" t="s">
        <v>42</v>
      </c>
      <c r="C24" s="1" t="s">
        <v>43</v>
      </c>
      <c r="D24" s="11" t="s">
        <v>44</v>
      </c>
      <c r="E24" s="11" t="s">
        <v>45</v>
      </c>
      <c r="F24" s="1" t="s">
        <v>40</v>
      </c>
    </row>
    <row r="25" customFormat="false" ht="16.5" hidden="false" customHeight="true" outlineLevel="0" collapsed="false">
      <c r="A25" s="1" t="s">
        <v>46</v>
      </c>
      <c r="B25" s="1" t="s">
        <v>42</v>
      </c>
      <c r="C25" s="1" t="s">
        <v>47</v>
      </c>
      <c r="D25" s="11" t="s">
        <v>44</v>
      </c>
      <c r="E25" s="1" t="s">
        <v>48</v>
      </c>
      <c r="F25" s="1" t="s">
        <v>40</v>
      </c>
    </row>
    <row r="26" customFormat="false" ht="16.5" hidden="false" customHeight="true" outlineLevel="0" collapsed="false">
      <c r="A26" s="12" t="s">
        <v>49</v>
      </c>
      <c r="B26" s="1" t="s">
        <v>42</v>
      </c>
      <c r="C26" s="1" t="s">
        <v>50</v>
      </c>
      <c r="D26" s="11" t="s">
        <v>51</v>
      </c>
      <c r="E26" s="11" t="s">
        <v>52</v>
      </c>
      <c r="F26" s="1" t="s">
        <v>40</v>
      </c>
    </row>
    <row r="27" customFormat="false" ht="16.5" hidden="false" customHeight="true" outlineLevel="0" collapsed="false">
      <c r="A27" s="1" t="s">
        <v>53</v>
      </c>
      <c r="B27" s="13" t="s">
        <v>42</v>
      </c>
      <c r="C27" s="1" t="s">
        <v>54</v>
      </c>
      <c r="D27" s="11" t="s">
        <v>44</v>
      </c>
      <c r="E27" s="11" t="s">
        <v>55</v>
      </c>
      <c r="F27" s="1" t="s">
        <v>40</v>
      </c>
    </row>
    <row r="28" customFormat="false" ht="16.5" hidden="false" customHeight="true" outlineLevel="0" collapsed="false">
      <c r="A28" s="1" t="s">
        <v>56</v>
      </c>
      <c r="B28" s="13" t="s">
        <v>57</v>
      </c>
      <c r="C28" s="1" t="s">
        <v>58</v>
      </c>
      <c r="D28" s="11" t="s">
        <v>59</v>
      </c>
      <c r="E28" s="11" t="s">
        <v>60</v>
      </c>
      <c r="F28" s="1" t="s">
        <v>40</v>
      </c>
    </row>
    <row r="29" customFormat="false" ht="16.5" hidden="false" customHeight="true" outlineLevel="0" collapsed="false">
      <c r="A29" s="1" t="s">
        <v>61</v>
      </c>
      <c r="B29" s="13" t="s">
        <v>57</v>
      </c>
      <c r="C29" s="1" t="s">
        <v>62</v>
      </c>
      <c r="D29" s="11" t="s">
        <v>59</v>
      </c>
      <c r="E29" s="11" t="s">
        <v>63</v>
      </c>
      <c r="F29" s="1" t="s">
        <v>40</v>
      </c>
    </row>
    <row r="30" customFormat="false" ht="16.5" hidden="false" customHeight="true" outlineLevel="0" collapsed="false">
      <c r="A30" s="1" t="s">
        <v>64</v>
      </c>
      <c r="B30" s="13" t="s">
        <v>57</v>
      </c>
      <c r="C30" s="1" t="s">
        <v>65</v>
      </c>
      <c r="D30" s="11" t="s">
        <v>51</v>
      </c>
      <c r="E30" s="11" t="s">
        <v>60</v>
      </c>
      <c r="F30" s="1" t="s">
        <v>40</v>
      </c>
    </row>
    <row r="31" customFormat="false" ht="16.5" hidden="false" customHeight="true" outlineLevel="0" collapsed="false">
      <c r="A31" s="1" t="s">
        <v>66</v>
      </c>
      <c r="B31" s="13" t="s">
        <v>57</v>
      </c>
      <c r="C31" s="1" t="s">
        <v>67</v>
      </c>
      <c r="D31" s="11" t="s">
        <v>44</v>
      </c>
      <c r="E31" s="1" t="s">
        <v>68</v>
      </c>
      <c r="F31" s="1" t="s">
        <v>40</v>
      </c>
    </row>
    <row r="32" customFormat="false" ht="16.5" hidden="false" customHeight="true" outlineLevel="0" collapsed="false">
      <c r="A32" s="1" t="s">
        <v>69</v>
      </c>
      <c r="B32" s="13" t="s">
        <v>70</v>
      </c>
      <c r="C32" s="1" t="s">
        <v>71</v>
      </c>
      <c r="D32" s="11" t="s">
        <v>44</v>
      </c>
      <c r="E32" s="1" t="s">
        <v>72</v>
      </c>
      <c r="F32" s="1" t="s">
        <v>40</v>
      </c>
    </row>
    <row r="33" customFormat="false" ht="16.5" hidden="false" customHeight="true" outlineLevel="0" collapsed="false">
      <c r="A33" s="1" t="s">
        <v>73</v>
      </c>
      <c r="B33" s="13" t="s">
        <v>70</v>
      </c>
      <c r="C33" s="1" t="s">
        <v>74</v>
      </c>
      <c r="D33" s="11" t="s">
        <v>51</v>
      </c>
      <c r="E33" s="11" t="s">
        <v>75</v>
      </c>
      <c r="F33" s="1" t="s">
        <v>40</v>
      </c>
    </row>
    <row r="34" customFormat="false" ht="16.5" hidden="false" customHeight="true" outlineLevel="0" collapsed="false">
      <c r="A34" s="1" t="s">
        <v>76</v>
      </c>
      <c r="B34" s="1" t="s">
        <v>70</v>
      </c>
      <c r="C34" s="1" t="s">
        <v>77</v>
      </c>
      <c r="D34" s="11" t="s">
        <v>59</v>
      </c>
      <c r="E34" s="11" t="s">
        <v>78</v>
      </c>
      <c r="F34" s="1" t="s">
        <v>40</v>
      </c>
    </row>
    <row r="35" customFormat="false" ht="16.5" hidden="false" customHeight="true" outlineLevel="0" collapsed="false">
      <c r="A35" s="1" t="s">
        <v>79</v>
      </c>
      <c r="B35" s="1" t="s">
        <v>80</v>
      </c>
      <c r="C35" s="1" t="s">
        <v>81</v>
      </c>
      <c r="D35" s="11" t="s">
        <v>59</v>
      </c>
      <c r="E35" s="1" t="s">
        <v>82</v>
      </c>
      <c r="F35" s="1" t="s">
        <v>40</v>
      </c>
    </row>
    <row r="36" customFormat="false" ht="16.5" hidden="false" customHeight="true" outlineLevel="0" collapsed="false">
      <c r="A36" s="1" t="s">
        <v>83</v>
      </c>
      <c r="B36" s="1" t="s">
        <v>84</v>
      </c>
      <c r="C36" s="1" t="s">
        <v>85</v>
      </c>
      <c r="D36" s="11" t="s">
        <v>44</v>
      </c>
      <c r="E36" s="1" t="s">
        <v>86</v>
      </c>
      <c r="F36" s="1" t="s">
        <v>40</v>
      </c>
    </row>
    <row r="37" customFormat="false" ht="16.5" hidden="false" customHeight="true" outlineLevel="0" collapsed="false">
      <c r="A37" s="1" t="s">
        <v>87</v>
      </c>
      <c r="B37" s="1" t="s">
        <v>88</v>
      </c>
      <c r="C37" s="11" t="s">
        <v>59</v>
      </c>
      <c r="D37" s="1" t="s">
        <v>89</v>
      </c>
    </row>
    <row r="38" customFormat="false" ht="16.5" hidden="false" customHeight="true" outlineLevel="0" collapsed="false">
      <c r="A38" s="1" t="s">
        <v>90</v>
      </c>
      <c r="B38" s="1" t="s">
        <v>91</v>
      </c>
      <c r="C38" s="1" t="s">
        <v>92</v>
      </c>
      <c r="D38" s="11" t="s">
        <v>59</v>
      </c>
      <c r="E38" s="1" t="s">
        <v>93</v>
      </c>
    </row>
    <row r="39" customFormat="false" ht="16.5" hidden="false" customHeight="true" outlineLevel="0" collapsed="false">
      <c r="A39" s="11" t="s">
        <v>1</v>
      </c>
      <c r="B39" s="1" t="s">
        <v>94</v>
      </c>
      <c r="C39" s="1" t="s">
        <v>92</v>
      </c>
      <c r="D39" s="11" t="s">
        <v>44</v>
      </c>
      <c r="E39" s="1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5"/>
    <col collapsed="false" customWidth="true" hidden="false" outlineLevel="0" max="5" min="3" style="1" width="12"/>
    <col collapsed="false" customWidth="true" hidden="false" outlineLevel="0" max="6" min="6" style="1" width="15"/>
    <col collapsed="false" customWidth="true" hidden="false" outlineLevel="0" max="10" min="7" style="1" width="12"/>
  </cols>
  <sheetData>
    <row r="1" customFormat="false" ht="16.5" hidden="false" customHeight="true" outlineLevel="0" collapsed="false">
      <c r="A1" s="14" t="s">
        <v>96</v>
      </c>
      <c r="B1" s="14" t="s">
        <v>97</v>
      </c>
      <c r="C1" s="14" t="s">
        <v>98</v>
      </c>
      <c r="D1" s="14" t="s">
        <v>99</v>
      </c>
      <c r="E1" s="14" t="s">
        <v>100</v>
      </c>
      <c r="F1" s="14" t="s">
        <v>101</v>
      </c>
      <c r="G1" s="14" t="s">
        <v>102</v>
      </c>
      <c r="H1" s="14" t="s">
        <v>103</v>
      </c>
      <c r="I1" s="14" t="s">
        <v>104</v>
      </c>
      <c r="J1" s="14" t="s">
        <v>105</v>
      </c>
    </row>
    <row r="2" customFormat="false" ht="15" hidden="false" customHeight="true" outlineLevel="0" collapsed="false">
      <c r="A2" s="1" t="s">
        <v>106</v>
      </c>
      <c r="B2" s="11" t="s">
        <v>107</v>
      </c>
      <c r="C2" s="1" t="n">
        <v>19050</v>
      </c>
      <c r="D2" s="1" t="n">
        <v>9</v>
      </c>
      <c r="E2" s="1" t="n">
        <v>10580</v>
      </c>
      <c r="F2" s="1" t="n">
        <f aca="false">(E2-C2)*D2</f>
        <v>-76230</v>
      </c>
      <c r="G2" s="1" t="n">
        <f aca="false">(E2-C2)/C2</f>
        <v>-0.444619422572178</v>
      </c>
      <c r="H2" s="1" t="n">
        <v>11986</v>
      </c>
      <c r="I2" s="1" t="n">
        <v>6454</v>
      </c>
      <c r="J2" s="1" t="n">
        <v>11064</v>
      </c>
    </row>
    <row r="3" customFormat="false" ht="15" hidden="false" customHeight="true" outlineLevel="0" collapsed="false">
      <c r="A3" s="1" t="s">
        <v>108</v>
      </c>
      <c r="B3" s="11" t="s">
        <v>109</v>
      </c>
      <c r="C3" s="1" t="n">
        <v>63713</v>
      </c>
      <c r="D3" s="1" t="n">
        <v>30</v>
      </c>
      <c r="E3" s="1" t="n">
        <v>53300</v>
      </c>
      <c r="F3" s="1" t="n">
        <f aca="false">(E3-C3)*D3</f>
        <v>-312390</v>
      </c>
      <c r="G3" s="1" t="n">
        <f aca="false">(E3-C3)/C3</f>
        <v>-0.163436033462559</v>
      </c>
      <c r="H3" s="1" t="n">
        <v>48000</v>
      </c>
      <c r="I3" s="1" t="n">
        <v>21600</v>
      </c>
      <c r="J3" s="1" t="n">
        <v>52000</v>
      </c>
    </row>
    <row r="4" customFormat="false" ht="15" hidden="false" customHeight="true" outlineLevel="0" collapsed="false">
      <c r="A4" s="1" t="s">
        <v>110</v>
      </c>
      <c r="B4" s="11" t="s">
        <v>111</v>
      </c>
      <c r="C4" s="1" t="n">
        <v>10990</v>
      </c>
      <c r="D4" s="1" t="n">
        <v>300</v>
      </c>
      <c r="E4" s="1" t="n">
        <v>8480</v>
      </c>
      <c r="F4" s="1" t="n">
        <f aca="false">(E4-C4)*D4</f>
        <v>-753000</v>
      </c>
      <c r="G4" s="1" t="n">
        <f aca="false">(E4-C4)/C4</f>
        <v>-0.228389444949955</v>
      </c>
      <c r="H4" s="1" t="n">
        <v>9308</v>
      </c>
      <c r="I4" s="1" t="n">
        <v>5012</v>
      </c>
      <c r="J4" s="1" t="n">
        <v>8592</v>
      </c>
    </row>
    <row r="5" customFormat="false" ht="15" hidden="false" customHeight="true" outlineLevel="0" collapsed="false">
      <c r="A5" s="1" t="s">
        <v>112</v>
      </c>
      <c r="B5" s="11" t="s">
        <v>113</v>
      </c>
      <c r="C5" s="1" t="n">
        <v>25014</v>
      </c>
      <c r="D5" s="1" t="n">
        <v>50</v>
      </c>
      <c r="E5" s="1" t="n">
        <v>36200</v>
      </c>
      <c r="F5" s="1" t="n">
        <f aca="false">(E5-C5)*D5</f>
        <v>559300</v>
      </c>
      <c r="G5" s="1" t="n">
        <f aca="false">(E5-C5)/C5</f>
        <v>0.44718957383865</v>
      </c>
    </row>
    <row r="6" customFormat="false" ht="15" hidden="false" customHeight="true" outlineLevel="0" collapsed="false">
      <c r="A6" s="1" t="s">
        <v>114</v>
      </c>
      <c r="B6" s="11" t="s">
        <v>115</v>
      </c>
      <c r="C6" s="1" t="n">
        <v>78800</v>
      </c>
      <c r="D6" s="1" t="n">
        <v>100</v>
      </c>
      <c r="E6" s="1" t="n">
        <v>54500</v>
      </c>
      <c r="F6" s="1" t="n">
        <f aca="false">(E6-C6)*D6</f>
        <v>-2430000</v>
      </c>
      <c r="G6" s="1" t="n">
        <f aca="false">(E6-C6)/C6</f>
        <v>-0.308375634517767</v>
      </c>
      <c r="H6" s="1" t="n">
        <v>65000</v>
      </c>
      <c r="I6" s="1" t="n">
        <v>35000</v>
      </c>
      <c r="J6" s="1" t="n">
        <v>60000</v>
      </c>
    </row>
    <row r="7" customFormat="false" ht="15" hidden="false" customHeight="true" outlineLevel="0" collapsed="false">
      <c r="A7" s="1" t="s">
        <v>116</v>
      </c>
      <c r="B7" s="11" t="s">
        <v>117</v>
      </c>
      <c r="C7" s="1" t="n">
        <v>58600</v>
      </c>
      <c r="D7" s="1" t="n">
        <v>100</v>
      </c>
      <c r="E7" s="1" t="n">
        <v>26000</v>
      </c>
      <c r="F7" s="1" t="n">
        <f aca="false">(E7-C7)*D7</f>
        <v>-3260000</v>
      </c>
      <c r="G7" s="1" t="n">
        <f aca="false">(E7-C7)/C7</f>
        <v>-0.556313993174061</v>
      </c>
      <c r="H7" s="1" t="n">
        <v>33670</v>
      </c>
      <c r="I7" s="1" t="n">
        <v>18130</v>
      </c>
      <c r="J7" s="1" t="n">
        <v>31080</v>
      </c>
    </row>
    <row r="8" customFormat="false" ht="15" hidden="false" customHeight="true" outlineLevel="0" collapsed="false">
      <c r="A8" s="1" t="s">
        <v>118</v>
      </c>
      <c r="B8" s="11" t="s">
        <v>119</v>
      </c>
      <c r="C8" s="1" t="n">
        <v>19497</v>
      </c>
      <c r="D8" s="1" t="n">
        <v>1100</v>
      </c>
      <c r="E8" s="1" t="n">
        <v>13720</v>
      </c>
      <c r="F8" s="1" t="n">
        <f aca="false">(E8-C8)*D8</f>
        <v>-6354700</v>
      </c>
      <c r="G8" s="1" t="n">
        <f aca="false">(E8-C8)/C8</f>
        <v>-0.296301995178745</v>
      </c>
    </row>
    <row r="9" customFormat="false" ht="15" hidden="false" customHeight="true" outlineLevel="0" collapsed="false">
      <c r="A9" s="1" t="s">
        <v>120</v>
      </c>
      <c r="B9" s="11" t="s">
        <v>121</v>
      </c>
      <c r="C9" s="1" t="n">
        <v>2627</v>
      </c>
      <c r="D9" s="1" t="n">
        <v>1500</v>
      </c>
      <c r="E9" s="1" t="n">
        <v>1728</v>
      </c>
      <c r="F9" s="1" t="n">
        <f aca="false">(E9-C9)*D9</f>
        <v>-1348500</v>
      </c>
      <c r="G9" s="1" t="n">
        <f aca="false">(E9-C9)/C9</f>
        <v>-0.342215454891511</v>
      </c>
    </row>
    <row r="10" customFormat="false" ht="15" hidden="false" customHeight="true" outlineLevel="0" collapsed="false">
      <c r="A10" s="1" t="s">
        <v>122</v>
      </c>
      <c r="B10" s="11" t="s">
        <v>123</v>
      </c>
      <c r="C10" s="1" t="n">
        <v>75725</v>
      </c>
      <c r="D10" s="1" t="n">
        <v>200</v>
      </c>
      <c r="E10" s="1" t="n">
        <v>40950</v>
      </c>
      <c r="F10" s="1" t="n">
        <f aca="false">(E10-C10)*D10</f>
        <v>-6955000</v>
      </c>
      <c r="G10" s="1" t="n">
        <f aca="false">(E10-C10)/C10</f>
        <v>-0.459227467811159</v>
      </c>
      <c r="H10" s="1" t="n">
        <v>52000</v>
      </c>
      <c r="I10" s="1" t="n">
        <v>25000</v>
      </c>
      <c r="J10" s="1" t="n">
        <v>48000</v>
      </c>
    </row>
    <row r="11" customFormat="false" ht="15" hidden="false" customHeight="true" outlineLevel="0" collapsed="false">
      <c r="A11" s="1" t="s">
        <v>124</v>
      </c>
      <c r="B11" s="11" t="s">
        <v>125</v>
      </c>
      <c r="C11" s="1" t="n">
        <v>7363</v>
      </c>
      <c r="D11" s="1" t="n">
        <v>800</v>
      </c>
      <c r="E11" s="1" t="n">
        <v>4875</v>
      </c>
      <c r="F11" s="1" t="n">
        <f aca="false">(E11-C11)*D11</f>
        <v>-1990400</v>
      </c>
      <c r="G11" s="1" t="n">
        <f aca="false">(E11-C11)/C11</f>
        <v>-0.337905744940921</v>
      </c>
    </row>
    <row r="12" customFormat="false" ht="15" hidden="false" customHeight="true" outlineLevel="0" collapsed="false">
      <c r="A12" s="1" t="s">
        <v>126</v>
      </c>
      <c r="B12" s="11" t="s">
        <v>127</v>
      </c>
      <c r="C12" s="1" t="n">
        <v>59591</v>
      </c>
      <c r="D12" s="1" t="n">
        <v>88</v>
      </c>
      <c r="E12" s="1" t="n">
        <v>47100</v>
      </c>
      <c r="F12" s="1" t="n">
        <f aca="false">(E12-C12)*D12</f>
        <v>-1099208</v>
      </c>
      <c r="G12" s="1" t="n">
        <f aca="false">(E12-C12)/C12</f>
        <v>-0.209612189760199</v>
      </c>
    </row>
    <row r="13" customFormat="false" ht="15" hidden="false" customHeight="true" outlineLevel="0" collapsed="false">
      <c r="A13" s="1" t="s">
        <v>106</v>
      </c>
      <c r="B13" s="11" t="s">
        <v>107</v>
      </c>
      <c r="C13" s="1" t="n">
        <v>19050</v>
      </c>
      <c r="D13" s="1" t="n">
        <v>291</v>
      </c>
      <c r="E13" s="1" t="n">
        <v>10580</v>
      </c>
      <c r="F13" s="1" t="n">
        <f aca="false">(E13-C13)*D13</f>
        <v>-2464770</v>
      </c>
      <c r="G13" s="1" t="n">
        <f aca="false">(E13-C13)/C13</f>
        <v>-0.444619422572178</v>
      </c>
      <c r="H13" s="1" t="n">
        <v>11986</v>
      </c>
      <c r="I13" s="1" t="n">
        <v>6454</v>
      </c>
      <c r="J13" s="1" t="n">
        <v>11064</v>
      </c>
    </row>
    <row r="14" customFormat="false" ht="15" hidden="false" customHeight="true" outlineLevel="0" collapsed="false">
      <c r="A14" s="1" t="s">
        <v>128</v>
      </c>
      <c r="B14" s="11" t="s">
        <v>129</v>
      </c>
      <c r="C14" s="1" t="n">
        <v>15500</v>
      </c>
      <c r="D14" s="1" t="n">
        <v>300</v>
      </c>
      <c r="E14" s="1" t="n">
        <v>11920</v>
      </c>
      <c r="F14" s="1" t="n">
        <f aca="false">(E14-C14)*D14</f>
        <v>-1074000</v>
      </c>
      <c r="G14" s="1" t="n">
        <f aca="false">(E14-C14)/C14</f>
        <v>-0.230967741935484</v>
      </c>
    </row>
    <row r="15" customFormat="false" ht="15" hidden="false" customHeight="true" outlineLevel="0" collapsed="false">
      <c r="A15" s="1" t="s">
        <v>130</v>
      </c>
      <c r="B15" s="11" t="s">
        <v>131</v>
      </c>
      <c r="C15" s="1" t="n">
        <v>25300</v>
      </c>
      <c r="D15" s="1" t="n">
        <v>370</v>
      </c>
      <c r="E15" s="1" t="n">
        <v>22250</v>
      </c>
      <c r="F15" s="1" t="n">
        <f aca="false">(E15-C15)*D15</f>
        <v>-1128500</v>
      </c>
      <c r="G15" s="1" t="n">
        <f aca="false">(E15-C15)/C15</f>
        <v>-0.120553359683794</v>
      </c>
    </row>
    <row r="16" customFormat="false" ht="15" hidden="false" customHeight="true" outlineLevel="0" collapsed="false">
      <c r="A16" s="1" t="s">
        <v>132</v>
      </c>
      <c r="B16" s="11" t="s">
        <v>133</v>
      </c>
      <c r="C16" s="1" t="n">
        <v>220000</v>
      </c>
      <c r="D16" s="1" t="n">
        <v>8</v>
      </c>
      <c r="E16" s="1" t="n">
        <v>316000</v>
      </c>
      <c r="F16" s="1" t="n">
        <f aca="false">(E16-C16)*D16</f>
        <v>768000</v>
      </c>
      <c r="G16" s="1" t="n">
        <f aca="false">(E16-C16)/C16</f>
        <v>0.436363636363636</v>
      </c>
    </row>
    <row r="17" customFormat="false" ht="15" hidden="false" customHeight="true" outlineLevel="0" collapsed="false">
      <c r="A17" s="1" t="s">
        <v>132</v>
      </c>
      <c r="B17" s="11" t="s">
        <v>133</v>
      </c>
      <c r="C17" s="1" t="n">
        <v>203000</v>
      </c>
      <c r="D17" s="1" t="n">
        <v>5</v>
      </c>
      <c r="E17" s="1" t="n">
        <v>316000</v>
      </c>
      <c r="F17" s="1" t="n">
        <f aca="false">(E17-C17)*D17</f>
        <v>565000</v>
      </c>
      <c r="G17" s="1" t="n">
        <f aca="false">(E17-C17)/C17</f>
        <v>0.556650246305419</v>
      </c>
    </row>
    <row r="18" customFormat="false" ht="15" hidden="false" customHeight="true" outlineLevel="0" collapsed="false">
      <c r="A18" s="1" t="s">
        <v>132</v>
      </c>
      <c r="B18" s="11" t="s">
        <v>133</v>
      </c>
      <c r="C18" s="1" t="n">
        <v>213706</v>
      </c>
      <c r="D18" s="1" t="n">
        <v>17</v>
      </c>
      <c r="E18" s="1" t="n">
        <v>316000</v>
      </c>
      <c r="F18" s="1" t="n">
        <f aca="false">(E18-C18)*D18</f>
        <v>1738998</v>
      </c>
      <c r="G18" s="1" t="n">
        <f aca="false">(E18-C18)/C18</f>
        <v>0.478666953665316</v>
      </c>
    </row>
    <row r="19" customFormat="false" ht="15" hidden="false" customHeight="true" outlineLevel="0" collapsed="false">
      <c r="A19" s="1" t="s">
        <v>134</v>
      </c>
      <c r="B19" s="11" t="s">
        <v>135</v>
      </c>
      <c r="C19" s="1" t="n">
        <v>18610</v>
      </c>
      <c r="D19" s="1" t="n">
        <v>300</v>
      </c>
      <c r="E19" s="1" t="n">
        <v>16500</v>
      </c>
      <c r="F19" s="1" t="n">
        <f aca="false">(E19-C19)*D19</f>
        <v>-633000</v>
      </c>
      <c r="G19" s="1" t="n">
        <f aca="false">(E19-C19)/C19</f>
        <v>-0.113379903277808</v>
      </c>
    </row>
    <row r="20" customFormat="false" ht="15" hidden="false" customHeight="true" outlineLevel="0" collapsed="false">
      <c r="A20" s="1" t="s">
        <v>134</v>
      </c>
      <c r="B20" s="11" t="s">
        <v>135</v>
      </c>
      <c r="C20" s="1" t="n">
        <v>23765</v>
      </c>
      <c r="D20" s="1" t="n">
        <v>230</v>
      </c>
      <c r="E20" s="1" t="n">
        <v>16500</v>
      </c>
      <c r="F20" s="1" t="n">
        <f aca="false">(E20-C20)*D20</f>
        <v>-1670950</v>
      </c>
      <c r="G20" s="1" t="n">
        <f aca="false">(E20-C20)/C20</f>
        <v>-0.305701662108142</v>
      </c>
    </row>
    <row r="21" customFormat="false" ht="15" hidden="false" customHeight="true" outlineLevel="0" collapsed="false">
      <c r="A21" s="1" t="s">
        <v>112</v>
      </c>
      <c r="B21" s="11" t="s">
        <v>113</v>
      </c>
      <c r="C21" s="1" t="n">
        <v>22950</v>
      </c>
      <c r="D21" s="1" t="n">
        <v>100</v>
      </c>
      <c r="E21" s="1" t="n">
        <v>36200</v>
      </c>
      <c r="F21" s="1" t="n">
        <f aca="false">(E21-C21)*D21</f>
        <v>1325000</v>
      </c>
      <c r="G21" s="1" t="n">
        <f aca="false">(E21-C21)/C21</f>
        <v>0.577342047930283</v>
      </c>
    </row>
    <row r="22" customFormat="false" ht="15" hidden="false" customHeight="true" outlineLevel="0" collapsed="false">
      <c r="A22" s="1" t="s">
        <v>112</v>
      </c>
      <c r="B22" s="11" t="s">
        <v>113</v>
      </c>
      <c r="C22" s="1" t="n">
        <v>25467</v>
      </c>
      <c r="D22" s="1" t="n">
        <v>300</v>
      </c>
      <c r="E22" s="1" t="n">
        <v>36200</v>
      </c>
      <c r="F22" s="1" t="n">
        <f aca="false">(E22-C22)*D22</f>
        <v>3219900</v>
      </c>
      <c r="G22" s="1" t="n">
        <f aca="false">(E22-C22)/C22</f>
        <v>0.421447363254408</v>
      </c>
    </row>
    <row r="23" customFormat="false" ht="15" hidden="false" customHeight="true" outlineLevel="0" collapsed="false">
      <c r="A23" s="1" t="s">
        <v>112</v>
      </c>
      <c r="B23" s="11" t="s">
        <v>113</v>
      </c>
      <c r="C23" s="1" t="n">
        <v>25000</v>
      </c>
      <c r="D23" s="1" t="n">
        <v>300</v>
      </c>
      <c r="E23" s="1" t="n">
        <v>36200</v>
      </c>
      <c r="F23" s="1" t="n">
        <f aca="false">(E23-C23)*D23</f>
        <v>3360000</v>
      </c>
      <c r="G23" s="1" t="n">
        <f aca="false">(E23-C23)/C23</f>
        <v>0.448</v>
      </c>
    </row>
    <row r="24" customFormat="false" ht="15" hidden="false" customHeight="true" outlineLevel="0" collapsed="false">
      <c r="A24" s="1" t="s">
        <v>112</v>
      </c>
      <c r="B24" s="11" t="s">
        <v>113</v>
      </c>
      <c r="C24" s="1" t="n">
        <v>24125</v>
      </c>
      <c r="D24" s="1" t="n">
        <v>360</v>
      </c>
      <c r="E24" s="1" t="n">
        <v>36200</v>
      </c>
      <c r="F24" s="1" t="n">
        <f aca="false">(E24-C24)*D24</f>
        <v>4347000</v>
      </c>
      <c r="G24" s="1" t="n">
        <f aca="false">(E24-C24)/C24</f>
        <v>0.500518134715026</v>
      </c>
    </row>
    <row r="25" customFormat="false" ht="15" hidden="false" customHeight="true" outlineLevel="0" collapsed="false">
      <c r="A25" s="1" t="s">
        <v>112</v>
      </c>
      <c r="B25" s="11" t="s">
        <v>113</v>
      </c>
      <c r="C25" s="1" t="n">
        <v>35850</v>
      </c>
      <c r="D25" s="1" t="n">
        <v>200</v>
      </c>
      <c r="E25" s="1" t="n">
        <v>36200</v>
      </c>
      <c r="F25" s="1" t="n">
        <f aca="false">(E25-C25)*D25</f>
        <v>70000</v>
      </c>
      <c r="G25" s="1" t="n">
        <f aca="false">(E25-C25)/C25</f>
        <v>0.0097629009762901</v>
      </c>
    </row>
    <row r="26" customFormat="false" ht="15" hidden="false" customHeight="true" outlineLevel="0" collapsed="false">
      <c r="A26" s="1" t="s">
        <v>136</v>
      </c>
      <c r="B26" s="11" t="s">
        <v>137</v>
      </c>
      <c r="C26" s="1" t="n">
        <v>21800</v>
      </c>
      <c r="D26" s="1" t="n">
        <v>200</v>
      </c>
      <c r="E26" s="1" t="n">
        <v>19330</v>
      </c>
      <c r="F26" s="1" t="n">
        <f aca="false">(E26-C26)*D26</f>
        <v>-494000</v>
      </c>
      <c r="G26" s="1" t="n">
        <f aca="false">(E26-C26)/C26</f>
        <v>-0.113302752293578</v>
      </c>
    </row>
    <row r="27" customFormat="false" ht="15" hidden="false" customHeight="true" outlineLevel="0" collapsed="false">
      <c r="A27" s="1" t="s">
        <v>138</v>
      </c>
      <c r="B27" s="11" t="s">
        <v>139</v>
      </c>
      <c r="C27" s="1" t="n">
        <v>138350</v>
      </c>
      <c r="D27" s="1" t="n">
        <v>20</v>
      </c>
      <c r="E27" s="1" t="n">
        <v>116200</v>
      </c>
      <c r="F27" s="1" t="n">
        <f aca="false">(E27-C27)*D27</f>
        <v>-443000</v>
      </c>
      <c r="G27" s="1" t="n">
        <f aca="false">(E27-C27)/C27</f>
        <v>-0.160101192627394</v>
      </c>
    </row>
    <row r="28" customFormat="false" ht="15" hidden="false" customHeight="true" outlineLevel="0" collapsed="false">
      <c r="A28" s="1" t="s">
        <v>140</v>
      </c>
      <c r="B28" s="11" t="s">
        <v>141</v>
      </c>
      <c r="C28" s="1" t="n">
        <v>67956</v>
      </c>
      <c r="D28" s="1" t="n">
        <v>160</v>
      </c>
      <c r="E28" s="1" t="n">
        <v>67800</v>
      </c>
      <c r="F28" s="1" t="n">
        <f aca="false">(E28-C28)*D28</f>
        <v>-24960</v>
      </c>
      <c r="G28" s="1" t="n">
        <f aca="false">(E28-C28)/C28</f>
        <v>-0.0022956030372594</v>
      </c>
    </row>
    <row r="29" customFormat="false" ht="15" hidden="false" customHeight="true" outlineLevel="0" collapsed="false">
      <c r="A29" s="1" t="s">
        <v>142</v>
      </c>
      <c r="B29" s="11" t="s">
        <v>143</v>
      </c>
      <c r="C29" s="1" t="n">
        <v>48800</v>
      </c>
      <c r="D29" s="1" t="n">
        <v>130</v>
      </c>
      <c r="E29" s="1" t="n">
        <v>52600</v>
      </c>
      <c r="F29" s="1" t="n">
        <f aca="false">(E29-C29)*D29</f>
        <v>494000</v>
      </c>
      <c r="G29" s="1" t="n">
        <f aca="false">(E29-C29)/C29</f>
        <v>0.0778688524590164</v>
      </c>
      <c r="H29" s="1" t="n">
        <v>62000</v>
      </c>
      <c r="I29" s="1" t="n">
        <v>28000</v>
      </c>
      <c r="J29" s="1" t="n">
        <v>55000</v>
      </c>
    </row>
    <row r="30" customFormat="false" ht="15" hidden="false" customHeight="true" outlineLevel="0" collapsed="false">
      <c r="A30" s="1" t="s">
        <v>142</v>
      </c>
      <c r="B30" s="11" t="s">
        <v>143</v>
      </c>
      <c r="C30" s="1" t="n">
        <v>50700</v>
      </c>
      <c r="D30" s="1" t="n">
        <v>90</v>
      </c>
      <c r="E30" s="1" t="n">
        <v>52600</v>
      </c>
      <c r="F30" s="1" t="n">
        <f aca="false">(E30-C30)*D30</f>
        <v>171000</v>
      </c>
      <c r="G30" s="1" t="n">
        <f aca="false">(E30-C30)/C30</f>
        <v>0.0374753451676529</v>
      </c>
    </row>
    <row r="31" customFormat="false" ht="15" hidden="false" customHeight="true" outlineLevel="0" collapsed="false">
      <c r="A31" s="1" t="s">
        <v>144</v>
      </c>
      <c r="B31" s="11" t="s">
        <v>145</v>
      </c>
      <c r="C31" s="1" t="n">
        <v>22411</v>
      </c>
      <c r="D31" s="1" t="n">
        <v>180</v>
      </c>
      <c r="E31" s="1" t="n">
        <v>21950</v>
      </c>
      <c r="F31" s="1" t="n">
        <f aca="false">(E31-C31)*D31</f>
        <v>-82980</v>
      </c>
      <c r="G31" s="1" t="n">
        <f aca="false">(E31-C31)/C31</f>
        <v>-0.0205702556780153</v>
      </c>
    </row>
    <row r="32" customFormat="false" ht="15" hidden="false" customHeight="true" outlineLevel="0" collapsed="false">
      <c r="A32" s="1" t="s">
        <v>144</v>
      </c>
      <c r="B32" s="11" t="s">
        <v>145</v>
      </c>
      <c r="C32" s="1" t="n">
        <v>22292</v>
      </c>
      <c r="D32" s="1" t="n">
        <v>120</v>
      </c>
      <c r="E32" s="1" t="n">
        <v>21950</v>
      </c>
      <c r="F32" s="1" t="n">
        <f aca="false">(E32-C32)*D32</f>
        <v>-41040</v>
      </c>
      <c r="G32" s="1" t="n">
        <f aca="false">(E32-C32)/C32</f>
        <v>-0.0153418266642742</v>
      </c>
    </row>
    <row r="33" customFormat="false" ht="15" hidden="false" customHeight="true" outlineLevel="0" collapsed="false">
      <c r="A33" s="1" t="s">
        <v>144</v>
      </c>
      <c r="B33" s="11" t="s">
        <v>145</v>
      </c>
      <c r="C33" s="1" t="n">
        <v>24000</v>
      </c>
      <c r="D33" s="1" t="n">
        <v>100</v>
      </c>
      <c r="E33" s="1" t="n">
        <v>21950</v>
      </c>
      <c r="F33" s="1" t="n">
        <f aca="false">(E33-C33)*D33</f>
        <v>-205000</v>
      </c>
      <c r="G33" s="1" t="n">
        <f aca="false">(E33-C33)/C33</f>
        <v>-0.0854166666666667</v>
      </c>
    </row>
    <row r="34" customFormat="false" ht="15" hidden="false" customHeight="true" outlineLevel="0" collapsed="false">
      <c r="A34" s="1" t="s">
        <v>144</v>
      </c>
      <c r="B34" s="11" t="s">
        <v>145</v>
      </c>
      <c r="C34" s="1" t="n">
        <v>26250</v>
      </c>
      <c r="D34" s="1" t="n">
        <v>300</v>
      </c>
      <c r="E34" s="1" t="n">
        <v>21950</v>
      </c>
      <c r="F34" s="1" t="n">
        <f aca="false">(E34-C34)*D34</f>
        <v>-1290000</v>
      </c>
      <c r="G34" s="1" t="n">
        <f aca="false">(E34-C34)/C34</f>
        <v>-0.163809523809524</v>
      </c>
    </row>
    <row r="35" customFormat="false" ht="15" hidden="false" customHeight="true" outlineLevel="0" collapsed="false">
      <c r="A35" s="1" t="s">
        <v>144</v>
      </c>
      <c r="B35" s="11" t="s">
        <v>145</v>
      </c>
      <c r="C35" s="1" t="n">
        <v>25083</v>
      </c>
      <c r="D35" s="1" t="n">
        <v>300</v>
      </c>
      <c r="E35" s="1" t="n">
        <v>21950</v>
      </c>
      <c r="F35" s="1" t="n">
        <f aca="false">(E35-C35)*D35</f>
        <v>-939900</v>
      </c>
      <c r="G35" s="1" t="n">
        <f aca="false">(E35-C35)/C35</f>
        <v>-0.124905314356337</v>
      </c>
    </row>
    <row r="36" customFormat="false" ht="15" hidden="false" customHeight="true" outlineLevel="0" collapsed="false">
      <c r="A36" s="1" t="s">
        <v>146</v>
      </c>
      <c r="B36" s="11" t="s">
        <v>147</v>
      </c>
      <c r="C36" s="1" t="n">
        <v>16417</v>
      </c>
      <c r="D36" s="1" t="n">
        <v>300</v>
      </c>
      <c r="E36" s="1" t="n">
        <v>15850</v>
      </c>
      <c r="F36" s="1" t="n">
        <f aca="false">(E36-C36)*D36</f>
        <v>-170100</v>
      </c>
      <c r="G36" s="1" t="n">
        <f aca="false">(E36-C36)/C36</f>
        <v>-0.034537369799598</v>
      </c>
    </row>
    <row r="37" customFormat="false" ht="15" hidden="false" customHeight="true" outlineLevel="0" collapsed="false">
      <c r="A37" s="1" t="s">
        <v>148</v>
      </c>
      <c r="B37" s="11" t="s">
        <v>149</v>
      </c>
      <c r="C37" s="1" t="n">
        <v>11516</v>
      </c>
      <c r="D37" s="1" t="n">
        <v>500</v>
      </c>
      <c r="E37" s="1" t="n">
        <v>10360</v>
      </c>
      <c r="F37" s="1" t="n">
        <f aca="false">(E37-C37)*D37</f>
        <v>-578000</v>
      </c>
      <c r="G37" s="1" t="n">
        <f aca="false">(E37-C37)/C37</f>
        <v>-0.100382077110108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20"/>
  </cols>
  <sheetData>
    <row r="1" customFormat="false" ht="15" hidden="false" customHeight="false" outlineLevel="0" collapsed="false">
      <c r="A1" s="15" t="s">
        <v>150</v>
      </c>
    </row>
    <row r="2" customFormat="false" ht="15" hidden="false" customHeight="false" outlineLevel="0" collapsed="false">
      <c r="A2" s="15" t="s">
        <v>151</v>
      </c>
    </row>
    <row r="3" customFormat="false" ht="15" hidden="false" customHeight="false" outlineLevel="0" collapsed="false">
      <c r="A3" s="15" t="s">
        <v>152</v>
      </c>
    </row>
    <row r="8" customFormat="false" ht="15" hidden="false" customHeight="false" outlineLevel="0" collapsed="false">
      <c r="A8" s="16" t="s">
        <v>30</v>
      </c>
      <c r="B8" s="16" t="s">
        <v>97</v>
      </c>
      <c r="C8" s="16" t="s">
        <v>153</v>
      </c>
      <c r="D8" s="16" t="s">
        <v>154</v>
      </c>
      <c r="E8" s="16" t="s">
        <v>155</v>
      </c>
      <c r="F8" s="16" t="s">
        <v>156</v>
      </c>
      <c r="G8" s="16" t="s">
        <v>157</v>
      </c>
      <c r="H8" s="16" t="s">
        <v>158</v>
      </c>
      <c r="I8" s="16" t="s">
        <v>159</v>
      </c>
      <c r="J8" s="16" t="s">
        <v>18</v>
      </c>
    </row>
    <row r="9" customFormat="false" ht="17.15" hidden="false" customHeight="false" outlineLevel="0" collapsed="false">
      <c r="A9" s="17" t="s">
        <v>160</v>
      </c>
      <c r="H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4"/>
  </cols>
  <sheetData>
    <row r="1" customFormat="false" ht="15" hidden="false" customHeight="false" outlineLevel="0" collapsed="false">
      <c r="B1" s="18" t="s">
        <v>161</v>
      </c>
      <c r="F1" s="19" t="s">
        <v>162</v>
      </c>
    </row>
    <row r="2" customFormat="false" ht="15" hidden="false" customHeight="false" outlineLevel="0" collapsed="false">
      <c r="B2" s="19" t="s">
        <v>163</v>
      </c>
      <c r="C2" s="20" t="n">
        <v>206437730</v>
      </c>
      <c r="F2" s="16" t="s">
        <v>164</v>
      </c>
      <c r="G2" s="16" t="s">
        <v>165</v>
      </c>
      <c r="H2" s="16" t="s">
        <v>158</v>
      </c>
      <c r="I2" s="16" t="s">
        <v>166</v>
      </c>
    </row>
    <row r="3" customFormat="false" ht="15" hidden="false" customHeight="false" outlineLevel="0" collapsed="false">
      <c r="B3" s="19" t="s">
        <v>167</v>
      </c>
      <c r="C3" s="20" t="n">
        <v>187236300</v>
      </c>
      <c r="F3" s="0" t="s">
        <v>168</v>
      </c>
      <c r="G3" s="0" t="s">
        <v>169</v>
      </c>
      <c r="H3" s="0" t="s">
        <v>169</v>
      </c>
      <c r="I3" s="0" t="s">
        <v>169</v>
      </c>
    </row>
    <row r="4" customFormat="false" ht="15" hidden="false" customHeight="false" outlineLevel="0" collapsed="false">
      <c r="B4" s="19" t="s">
        <v>158</v>
      </c>
      <c r="C4" s="20" t="n">
        <v>0</v>
      </c>
      <c r="F4" s="0" t="s">
        <v>170</v>
      </c>
      <c r="G4" s="0" t="s">
        <v>169</v>
      </c>
      <c r="H4" s="0" t="s">
        <v>169</v>
      </c>
      <c r="I4" s="0" t="s">
        <v>169</v>
      </c>
    </row>
    <row r="5" customFormat="false" ht="15" hidden="false" customHeight="false" outlineLevel="0" collapsed="false">
      <c r="B5" s="19" t="s">
        <v>101</v>
      </c>
      <c r="C5" s="20" t="n">
        <v>-19201430</v>
      </c>
      <c r="F5" s="0" t="s">
        <v>171</v>
      </c>
      <c r="G5" s="0" t="s">
        <v>169</v>
      </c>
      <c r="H5" s="0" t="s">
        <v>169</v>
      </c>
      <c r="I5" s="0" t="s">
        <v>169</v>
      </c>
    </row>
    <row r="6" customFormat="false" ht="15" hidden="false" customHeight="false" outlineLevel="0" collapsed="false">
      <c r="B6" s="19" t="s">
        <v>159</v>
      </c>
      <c r="C6" s="21" t="n">
        <v>-0.093</v>
      </c>
      <c r="F6" s="0" t="s">
        <v>172</v>
      </c>
      <c r="G6" s="0" t="s">
        <v>169</v>
      </c>
      <c r="H6" s="0" t="s">
        <v>169</v>
      </c>
      <c r="I6" s="0" t="s">
        <v>169</v>
      </c>
    </row>
    <row r="7" customFormat="false" ht="15" hidden="false" customHeight="false" outlineLevel="0" collapsed="false">
      <c r="B7" s="19" t="s">
        <v>173</v>
      </c>
      <c r="C7" s="20" t="n">
        <v>-19201430</v>
      </c>
      <c r="F7" s="0" t="s">
        <v>174</v>
      </c>
      <c r="G7" s="0" t="s">
        <v>169</v>
      </c>
      <c r="H7" s="0" t="s">
        <v>169</v>
      </c>
      <c r="I7" s="0" t="s">
        <v>169</v>
      </c>
    </row>
    <row r="8" customFormat="false" ht="15" hidden="false" customHeight="false" outlineLevel="0" collapsed="false">
      <c r="F8" s="0" t="s">
        <v>175</v>
      </c>
      <c r="G8" s="0" t="s">
        <v>169</v>
      </c>
      <c r="H8" s="0" t="s">
        <v>169</v>
      </c>
      <c r="I8" s="0" t="s">
        <v>169</v>
      </c>
    </row>
    <row r="9" customFormat="false" ht="15" hidden="false" customHeight="false" outlineLevel="0" collapsed="false">
      <c r="F9" s="0" t="s">
        <v>176</v>
      </c>
      <c r="G9" s="0" t="s">
        <v>169</v>
      </c>
      <c r="H9" s="0" t="s">
        <v>169</v>
      </c>
      <c r="I9" s="0" t="s">
        <v>169</v>
      </c>
    </row>
    <row r="10" customFormat="false" ht="15" hidden="false" customHeight="false" outlineLevel="0" collapsed="false">
      <c r="F10" s="0" t="s">
        <v>177</v>
      </c>
      <c r="G10" s="0" t="s">
        <v>169</v>
      </c>
      <c r="H10" s="0" t="s">
        <v>169</v>
      </c>
      <c r="I10" s="0" t="s">
        <v>169</v>
      </c>
    </row>
    <row r="11" customFormat="false" ht="15" hidden="false" customHeight="false" outlineLevel="0" collapsed="false">
      <c r="F11" s="0" t="s">
        <v>178</v>
      </c>
      <c r="G11" s="0" t="s">
        <v>169</v>
      </c>
      <c r="H11" s="0" t="s">
        <v>169</v>
      </c>
      <c r="I11" s="0" t="s">
        <v>169</v>
      </c>
    </row>
    <row r="12" customFormat="false" ht="15" hidden="false" customHeight="false" outlineLevel="0" collapsed="false">
      <c r="F12" s="0" t="s">
        <v>179</v>
      </c>
      <c r="G12" s="0" t="s">
        <v>169</v>
      </c>
      <c r="H12" s="0" t="s">
        <v>169</v>
      </c>
      <c r="I12" s="0" t="s">
        <v>169</v>
      </c>
    </row>
    <row r="13" customFormat="false" ht="15" hidden="false" customHeight="false" outlineLevel="0" collapsed="false">
      <c r="F13" s="19" t="s">
        <v>180</v>
      </c>
      <c r="G13" s="17" t="n">
        <v>0</v>
      </c>
      <c r="H13" s="17" t="n">
        <v>0</v>
      </c>
      <c r="I13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false" outlineLevel="0" collapsed="false">
      <c r="A1" s="19" t="s">
        <v>97</v>
      </c>
      <c r="B1" s="22" t="s">
        <v>181</v>
      </c>
    </row>
    <row r="2" customFormat="false" ht="15" hidden="false" customHeight="false" outlineLevel="0" collapsed="false">
      <c r="A2" s="23" t="s">
        <v>127</v>
      </c>
      <c r="B2" s="0" t="n">
        <v>47100</v>
      </c>
    </row>
    <row r="3" customFormat="false" ht="15" hidden="false" customHeight="false" outlineLevel="0" collapsed="false">
      <c r="A3" s="23" t="s">
        <v>111</v>
      </c>
      <c r="B3" s="0" t="n">
        <v>8480</v>
      </c>
    </row>
    <row r="4" customFormat="false" ht="15" hidden="false" customHeight="false" outlineLevel="0" collapsed="false">
      <c r="A4" s="23" t="s">
        <v>135</v>
      </c>
      <c r="B4" s="0" t="n">
        <v>16500</v>
      </c>
    </row>
    <row r="5" customFormat="false" ht="15" hidden="false" customHeight="false" outlineLevel="0" collapsed="false">
      <c r="A5" s="23" t="s">
        <v>149</v>
      </c>
      <c r="B5" s="0" t="n">
        <v>10360</v>
      </c>
    </row>
    <row r="6" customFormat="false" ht="15" hidden="false" customHeight="false" outlineLevel="0" collapsed="false">
      <c r="A6" s="23" t="s">
        <v>123</v>
      </c>
      <c r="B6" s="0" t="n">
        <v>40950</v>
      </c>
    </row>
    <row r="7" customFormat="false" ht="15" hidden="false" customHeight="false" outlineLevel="0" collapsed="false">
      <c r="A7" s="23" t="s">
        <v>119</v>
      </c>
      <c r="B7" s="0" t="n">
        <v>13720</v>
      </c>
    </row>
    <row r="8" customFormat="false" ht="15" hidden="false" customHeight="false" outlineLevel="0" collapsed="false">
      <c r="A8" s="23" t="s">
        <v>137</v>
      </c>
      <c r="B8" s="0" t="n">
        <v>19330</v>
      </c>
    </row>
    <row r="9" customFormat="false" ht="15" hidden="false" customHeight="false" outlineLevel="0" collapsed="false">
      <c r="A9" s="23" t="s">
        <v>117</v>
      </c>
      <c r="B9" s="0" t="n">
        <v>26000</v>
      </c>
    </row>
    <row r="10" customFormat="false" ht="15" hidden="false" customHeight="false" outlineLevel="0" collapsed="false">
      <c r="A10" s="23" t="s">
        <v>109</v>
      </c>
      <c r="B10" s="0" t="n">
        <v>53300</v>
      </c>
    </row>
    <row r="11" customFormat="false" ht="15" hidden="false" customHeight="false" outlineLevel="0" collapsed="false">
      <c r="A11" s="23" t="s">
        <v>145</v>
      </c>
      <c r="B11" s="0" t="n">
        <v>21950</v>
      </c>
    </row>
    <row r="12" customFormat="false" ht="15" hidden="false" customHeight="false" outlineLevel="0" collapsed="false">
      <c r="A12" s="23" t="s">
        <v>115</v>
      </c>
      <c r="B12" s="0" t="n">
        <v>54500</v>
      </c>
    </row>
    <row r="13" customFormat="false" ht="15" hidden="false" customHeight="false" outlineLevel="0" collapsed="false">
      <c r="A13" s="23" t="s">
        <v>141</v>
      </c>
      <c r="B13" s="0" t="n">
        <v>67800</v>
      </c>
    </row>
    <row r="14" customFormat="false" ht="15" hidden="false" customHeight="false" outlineLevel="0" collapsed="false">
      <c r="A14" s="23" t="s">
        <v>107</v>
      </c>
      <c r="B14" s="0" t="n">
        <v>10580</v>
      </c>
    </row>
    <row r="15" customFormat="false" ht="15" hidden="false" customHeight="false" outlineLevel="0" collapsed="false">
      <c r="A15" s="23" t="s">
        <v>125</v>
      </c>
      <c r="B15" s="0" t="n">
        <v>4875</v>
      </c>
    </row>
    <row r="16" customFormat="false" ht="15" hidden="false" customHeight="false" outlineLevel="0" collapsed="false">
      <c r="A16" s="23" t="s">
        <v>147</v>
      </c>
      <c r="B16" s="0" t="n">
        <v>15850</v>
      </c>
    </row>
    <row r="17" customFormat="false" ht="15" hidden="false" customHeight="false" outlineLevel="0" collapsed="false">
      <c r="A17" s="23" t="s">
        <v>139</v>
      </c>
      <c r="B17" s="0" t="n">
        <v>116200</v>
      </c>
    </row>
    <row r="18" customFormat="false" ht="15" hidden="false" customHeight="false" outlineLevel="0" collapsed="false">
      <c r="A18" s="23" t="s">
        <v>121</v>
      </c>
      <c r="B18" s="0" t="n">
        <v>1728</v>
      </c>
    </row>
    <row r="19" customFormat="false" ht="15" hidden="false" customHeight="false" outlineLevel="0" collapsed="false">
      <c r="A19" s="23" t="s">
        <v>143</v>
      </c>
      <c r="B19" s="0" t="n">
        <v>52600</v>
      </c>
    </row>
    <row r="20" customFormat="false" ht="15" hidden="false" customHeight="false" outlineLevel="0" collapsed="false">
      <c r="A20" s="23" t="s">
        <v>113</v>
      </c>
      <c r="B20" s="0" t="n">
        <v>36200</v>
      </c>
    </row>
    <row r="21" customFormat="false" ht="15" hidden="false" customHeight="false" outlineLevel="0" collapsed="false">
      <c r="A21" s="23" t="s">
        <v>133</v>
      </c>
      <c r="B21" s="0" t="n">
        <v>316000</v>
      </c>
    </row>
    <row r="22" customFormat="false" ht="17.15" hidden="false" customHeight="false" outlineLevel="0" collapsed="false">
      <c r="A22" s="23" t="s">
        <v>182</v>
      </c>
      <c r="B22" s="0" t="n">
        <v>22250</v>
      </c>
    </row>
    <row r="23" customFormat="false" ht="15" hidden="false" customHeight="false" outlineLevel="0" collapsed="false">
      <c r="A23" s="23" t="s">
        <v>129</v>
      </c>
      <c r="B23" s="0" t="n">
        <v>11920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2026-01-21T07:40:53Z</dcterms:created>
  <dc:creator>openpyxl</dc:creator>
  <dc:description/>
  <dc:language>en-US</dc:language>
  <cp:lastModifiedBy/>
  <dcterms:modified xsi:type="dcterms:W3CDTF">2026-02-28T00:54:33Z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